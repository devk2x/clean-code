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tem Log" sheetId="2" state="visible" r:id="rId4"/>
    <sheet name="Daily WIP" sheetId="3" state="visible" r:id="rId5"/>
    <sheet name="Weekly Data" sheetId="4" state="visible" r:id="rId6"/>
    <sheet name="Cycle Time" sheetId="5" state="visible" r:id="rId7"/>
    <sheet name="Monte Carlo" sheetId="6" state="visible" r:id="rId8"/>
    <sheet name="Review Tracker" sheetId="7" state="visible" r:id="rId9"/>
    <sheet name="Huong Dan" sheetId="8" state="visible" r:id="rId10"/>
  </sheets>
  <definedNames>
    <definedName function="false" hidden="true" localSheetId="1" name="_xlnm._FilterDatabase" vbProcedure="false">'Item Log'!$A$3:$V$51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<sst xmlns="http://schemas.openxmlformats.org/spreadsheetml/2006/main" count="1137" uniqueCount="423">
  <si>
    <t xml:space="preserve">FLOW METRICS + BURNDOWN DASHBOARD</t>
  </si>
  <si>
    <t xml:space="preserve">SaaS Offshore JP  |  3 Dev · 2 QA · 1 PM  |  Sprint 1W  |  Capacity 70-75%  |  TAT CA CONG THUC TU DONG</t>
  </si>
  <si>
    <t xml:space="preserve">Moi so lieu tren Dashboard nay deu la CONG THUC doc tu cac sheet khac — KHONG CAN NHAP TAY. Tuong thich Google Sheets.</t>
  </si>
  <si>
    <t xml:space="preserve">KEY PERFORMANCE INDICATORS — Tu dong tu Item Log + Weekly Data</t>
  </si>
  <si>
    <t xml:space="preserve">TONG ITEMS</t>
  </si>
  <si>
    <t xml:space="preserve">ITEMS DONE</t>
  </si>
  <si>
    <t xml:space="preserve">WIP HIEN TAI</t>
  </si>
  <si>
    <t xml:space="preserve">AVG THROUGHPUT</t>
  </si>
  <si>
    <t xml:space="preserve">CYCLE TIME P85</t>
  </si>
  <si>
    <t xml:space="preserve">LITTLE'S LAW</t>
  </si>
  <si>
    <t xml:space="preserve">items du an</t>
  </si>
  <si>
    <t xml:space="preserve">items hoan thanh</t>
  </si>
  <si>
    <t xml:space="preserve">items dang xu ly</t>
  </si>
  <si>
    <t xml:space="preserve">items / tuan</t>
  </si>
  <si>
    <t xml:space="preserve">ngay (calendar)</t>
  </si>
  <si>
    <t xml:space="preserve">ngay (WIP / Throughput)</t>
  </si>
  <si>
    <t xml:space="preserve">CT du doan tu Dinh luat Little</t>
  </si>
  <si>
    <t xml:space="preserve">TIEN DO DU AN</t>
  </si>
  <si>
    <t xml:space="preserve">CAPACITY &amp; GIO</t>
  </si>
  <si>
    <t xml:space="preserve">BURNDOWN STATUS</t>
  </si>
  <si>
    <t xml:space="preserve">Chi So</t>
  </si>
  <si>
    <t xml:space="preserve">Gia Tri (Cong Thuc)</t>
  </si>
  <si>
    <t xml:space="preserve">Metric</t>
  </si>
  <si>
    <t xml:space="preserve">Value</t>
  </si>
  <si>
    <t xml:space="preserve">Tong Items</t>
  </si>
  <si>
    <t xml:space="preserve">Gross Hours/Tuan (3 Dev)</t>
  </si>
  <si>
    <t xml:space="preserve">Tuan Hien Tai</t>
  </si>
  <si>
    <t xml:space="preserve">Items Done</t>
  </si>
  <si>
    <t xml:space="preserve">Target 72.5%</t>
  </si>
  <si>
    <t xml:space="preserve">Items Con Lai (Actual)</t>
  </si>
  <si>
    <t xml:space="preserve">Items Con Lai</t>
  </si>
  <si>
    <t xml:space="preserve">Overhead 27.5%</t>
  </si>
  <si>
    <t xml:space="preserve">Best Case (Ideal)</t>
  </si>
  <si>
    <t xml:space="preserve">% Done (Items)</t>
  </si>
  <si>
    <t xml:space="preserve">Tong Gio Estimate</t>
  </si>
  <si>
    <t xml:space="preserve">Worst Case (Buffer)</t>
  </si>
  <si>
    <t xml:space="preserve">% Done (Gio)</t>
  </si>
  <si>
    <t xml:space="preserve">Gio Done</t>
  </si>
  <si>
    <t xml:space="preserve">Actual vs Best</t>
  </si>
  <si>
    <t xml:space="preserve">Gio Con Lai</t>
  </si>
  <si>
    <t xml:space="preserve">Actual vs Worst</t>
  </si>
  <si>
    <t xml:space="preserve">Items Done Ly Tuong</t>
  </si>
  <si>
    <t xml:space="preserve">Avg Gio / Item (Done)</t>
  </si>
  <si>
    <t xml:space="preserve">Burndown Zone</t>
  </si>
  <si>
    <t xml:space="preserve">Delta vs Ly Tuong</t>
  </si>
  <si>
    <t xml:space="preserve">Tuan Con Lai (by Gio)</t>
  </si>
  <si>
    <t xml:space="preserve">Forecast 85% (tuan)</t>
  </si>
  <si>
    <t xml:space="preserve">WIP THEO TUNG BUOC — DEV + QA + FINAL (Cong thuc tu Item Log)</t>
  </si>
  <si>
    <t xml:space="preserve">THROUGHPUT &amp; CYCLE TIME THEO TUAN (Cong thuc tu Weekly Data)</t>
  </si>
  <si>
    <t xml:space="preserve">Buoc</t>
  </si>
  <si>
    <t xml:space="preserve">Phase</t>
  </si>
  <si>
    <t xml:space="preserve">WIP Hien Tai</t>
  </si>
  <si>
    <t xml:space="preserve">Limit</t>
  </si>
  <si>
    <t xml:space="preserve">Delta</t>
  </si>
  <si>
    <t xml:space="preserve">Status</t>
  </si>
  <si>
    <t xml:space="preserve">Reviewer</t>
  </si>
  <si>
    <t xml:space="preserve">Tuan</t>
  </si>
  <si>
    <t xml:space="preserve">Tich Luy</t>
  </si>
  <si>
    <t xml:space="preserve">Best</t>
  </si>
  <si>
    <t xml:space="preserve">Actual</t>
  </si>
  <si>
    <t xml:space="preserve">Worst</t>
  </si>
  <si>
    <t xml:space="preserve">CT Avg</t>
  </si>
  <si>
    <t xml:space="preserve">Detail Design</t>
  </si>
  <si>
    <t xml:space="preserve">Dev</t>
  </si>
  <si>
    <t xml:space="preserve">--</t>
  </si>
  <si>
    <t xml:space="preserve">Review Design</t>
  </si>
  <si>
    <t xml:space="preserve">2</t>
  </si>
  <si>
    <t xml:space="preserve">Cross-review: Dev khac</t>
  </si>
  <si>
    <t xml:space="preserve">Coding</t>
  </si>
  <si>
    <t xml:space="preserve">3</t>
  </si>
  <si>
    <t xml:space="preserve">1 Dev = 1 item</t>
  </si>
  <si>
    <t xml:space="preserve">Review Code</t>
  </si>
  <si>
    <t xml:space="preserve">Whitebox</t>
  </si>
  <si>
    <t xml:space="preserve">Unit test boi Dev</t>
  </si>
  <si>
    <t xml:space="preserve">Test Viewpoint</t>
  </si>
  <si>
    <t xml:space="preserve">QA</t>
  </si>
  <si>
    <t xml:space="preserve">Test Cases</t>
  </si>
  <si>
    <t xml:space="preserve">Review TC</t>
  </si>
  <si>
    <t xml:space="preserve">Cross-review: QA khac</t>
  </si>
  <si>
    <t xml:space="preserve">Test Execute</t>
  </si>
  <si>
    <t xml:space="preserve">Acceptance Test</t>
  </si>
  <si>
    <t xml:space="preserve">Final</t>
  </si>
  <si>
    <t xml:space="preserve">Senior/Leader/PM</t>
  </si>
  <si>
    <t xml:space="preserve">TONG WIP ACTIVE</t>
  </si>
  <si>
    <t xml:space="preserve">9</t>
  </si>
  <si>
    <t xml:space="preserve">Stop nhan moi neu vuot 9</t>
  </si>
  <si>
    <t xml:space="preserve">WIP Dev</t>
  </si>
  <si>
    <t xml:space="preserve">WIP QA</t>
  </si>
  <si>
    <t xml:space="preserve">WIP Final</t>
  </si>
  <si>
    <t xml:space="preserve">REVIEW BOTTLENECK — 3 Khau Review (Cong thuc tu Item Log)</t>
  </si>
  <si>
    <t xml:space="preserve">MONTE CARLO FORECAST &amp; LITTLE'S LAW (Tu cac sheet)</t>
  </si>
  <si>
    <t xml:space="preserve">Khau Review</t>
  </si>
  <si>
    <t xml:space="preserve">WIP</t>
  </si>
  <si>
    <t xml:space="preserve">Avg Review Time</t>
  </si>
  <si>
    <t xml:space="preserve">Reviews &gt; 2d</t>
  </si>
  <si>
    <t xml:space="preserve">Don Vi</t>
  </si>
  <si>
    <t xml:space="preserve">Ghi Chu</t>
  </si>
  <si>
    <t xml:space="preserve">items</t>
  </si>
  <si>
    <t xml:space="preserve">Tu Monte Carlo</t>
  </si>
  <si>
    <t xml:space="preserve">Avg Throughput</t>
  </si>
  <si>
    <t xml:space="preserve">items/w</t>
  </si>
  <si>
    <t xml:space="preserve">Lich su</t>
  </si>
  <si>
    <t xml:space="preserve">Forecast 50%</t>
  </si>
  <si>
    <t xml:space="preserve">tuan</t>
  </si>
  <si>
    <t xml:space="preserve">Xac suat 50:50</t>
  </si>
  <si>
    <t xml:space="preserve">Forecast 70%</t>
  </si>
  <si>
    <t xml:space="preserve">Kha nang cao</t>
  </si>
  <si>
    <t xml:space="preserve">Forecast 85% (JP)</t>
  </si>
  <si>
    <t xml:space="preserve">Cam ket JP — an toan</t>
  </si>
  <si>
    <t xml:space="preserve">Forecast 95%</t>
  </si>
  <si>
    <t xml:space="preserve">Buffer 20%</t>
  </si>
  <si>
    <t xml:space="preserve">Little's Law CT</t>
  </si>
  <si>
    <t xml:space="preserve">ngay</t>
  </si>
  <si>
    <t xml:space="preserve">WIP / Throughput</t>
  </si>
  <si>
    <t xml:space="preserve">CT Thuc Te (Avg)</t>
  </si>
  <si>
    <t xml:space="preserve">Tu Item Log</t>
  </si>
  <si>
    <t xml:space="preserve">Delta Little</t>
  </si>
  <si>
    <t xml:space="preserve">Duong = WIP an</t>
  </si>
  <si>
    <t xml:space="preserve">QUY TRINH WORKFLOW — Dev → QA (Song Song) → Final → Done</t>
  </si>
  <si>
    <t xml:space="preserve">DEV PIPELINE</t>
  </si>
  <si>
    <t xml:space="preserve">→ Review Design</t>
  </si>
  <si>
    <t xml:space="preserve">→ Coding</t>
  </si>
  <si>
    <t xml:space="preserve">→ Review Code</t>
  </si>
  <si>
    <t xml:space="preserve">→ Whitebox</t>
  </si>
  <si>
    <t xml:space="preserve">QA PIPELINE</t>
  </si>
  <si>
    <t xml:space="preserve">→ Test Cases</t>
  </si>
  <si>
    <t xml:space="preserve">→ Review TC</t>
  </si>
  <si>
    <t xml:space="preserve">→ Test Execute</t>
  </si>
  <si>
    <t xml:space="preserve">FINAL</t>
  </si>
  <si>
    <t xml:space="preserve">→ DONE</t>
  </si>
  <si>
    <t xml:space="preserve">QA chay SONG SONG voi Dev (bat dau tu khi Dev vao Coding). Review = nguoi KHAC (cross-review). Senior/Leader/PM lam Acceptance Test cuoi cung.</t>
  </si>
  <si>
    <t xml:space="preserve">ITEM LOG — Nhat Ky Trang Thai Chi Tiet (Bang 3.1)  |  Nhap NGAY chuyen trang thai → Cong thuc tu dong tinh</t>
  </si>
  <si>
    <t xml:space="preserve">THONG TIN ITEM</t>
  </si>
  <si>
    <t xml:space="preserve">DEV PIPELINE (Ngay bat dau tung buoc)</t>
  </si>
  <si>
    <t xml:space="preserve">QA PIPELINE (Song song)</t>
  </si>
  <si>
    <t xml:space="preserve">TU DONG TINH (CONG THUC)</t>
  </si>
  <si>
    <t xml:space="preserve">Ma Item</t>
  </si>
  <si>
    <t xml:space="preserve">Ten Hang Muc</t>
  </si>
  <si>
    <t xml:space="preserve">Loai</t>
  </si>
  <si>
    <t xml:space="preserve">Gio UT</t>
  </si>
  <si>
    <t xml:space="preserve">Accept Test</t>
  </si>
  <si>
    <t xml:space="preserve">Done</t>
  </si>
  <si>
    <t xml:space="preserve">Cycle Time</t>
  </si>
  <si>
    <t xml:space="preserve">Lead Time</t>
  </si>
  <si>
    <t xml:space="preserve">Trang Thai</t>
  </si>
  <si>
    <t xml:space="preserve">Phase Hien Tai</t>
  </si>
  <si>
    <t xml:space="preserve">ITM-001</t>
  </si>
  <si>
    <t xml:space="preserve">Bug: Task #1</t>
  </si>
  <si>
    <t xml:space="preserve">Bug</t>
  </si>
  <si>
    <t xml:space="preserve">Dev_C</t>
  </si>
  <si>
    <t xml:space="preserve">QA_2</t>
  </si>
  <si>
    <t xml:space="preserve">Dev_A</t>
  </si>
  <si>
    <t xml:space="preserve">ITM-002</t>
  </si>
  <si>
    <t xml:space="preserve">Feature: Task #2</t>
  </si>
  <si>
    <t xml:space="preserve">Feature</t>
  </si>
  <si>
    <t xml:space="preserve">ITM-003</t>
  </si>
  <si>
    <t xml:space="preserve">Spike: Task #3</t>
  </si>
  <si>
    <t xml:space="preserve">Spike</t>
  </si>
  <si>
    <t xml:space="preserve">Dev_B</t>
  </si>
  <si>
    <t xml:space="preserve">QA_1</t>
  </si>
  <si>
    <t xml:space="preserve">ITM-004</t>
  </si>
  <si>
    <t xml:space="preserve">Bug: Task #4</t>
  </si>
  <si>
    <t xml:space="preserve">ITM-005</t>
  </si>
  <si>
    <t xml:space="preserve">Bug: Task #5</t>
  </si>
  <si>
    <t xml:space="preserve">ITM-006</t>
  </si>
  <si>
    <t xml:space="preserve">Feature: Task #6</t>
  </si>
  <si>
    <t xml:space="preserve">ITM-007</t>
  </si>
  <si>
    <t xml:space="preserve">Feature: Task #7</t>
  </si>
  <si>
    <t xml:space="preserve">ITM-008</t>
  </si>
  <si>
    <t xml:space="preserve">Bug: Task #8</t>
  </si>
  <si>
    <t xml:space="preserve">ITM-009</t>
  </si>
  <si>
    <t xml:space="preserve">Feature: Task #9</t>
  </si>
  <si>
    <t xml:space="preserve">ITM-010</t>
  </si>
  <si>
    <t xml:space="preserve">Feature: Task #10</t>
  </si>
  <si>
    <t xml:space="preserve">ITM-011</t>
  </si>
  <si>
    <t xml:space="preserve">Spike: Task #11</t>
  </si>
  <si>
    <t xml:space="preserve">ITM-012</t>
  </si>
  <si>
    <t xml:space="preserve">Feature: Task #12</t>
  </si>
  <si>
    <t xml:space="preserve">ITM-013</t>
  </si>
  <si>
    <t xml:space="preserve">Feature: Task #13</t>
  </si>
  <si>
    <t xml:space="preserve">ITM-014</t>
  </si>
  <si>
    <t xml:space="preserve">Bug: Task #14</t>
  </si>
  <si>
    <t xml:space="preserve">ITM-015</t>
  </si>
  <si>
    <t xml:space="preserve">Feature: Task #15</t>
  </si>
  <si>
    <t xml:space="preserve">ITM-016</t>
  </si>
  <si>
    <t xml:space="preserve">Feature: Task #16</t>
  </si>
  <si>
    <t xml:space="preserve">ITM-017</t>
  </si>
  <si>
    <t xml:space="preserve">Feature: Task #17</t>
  </si>
  <si>
    <t xml:space="preserve">ITM-018</t>
  </si>
  <si>
    <t xml:space="preserve">Feature: Task #18</t>
  </si>
  <si>
    <t xml:space="preserve">ITM-019</t>
  </si>
  <si>
    <t xml:space="preserve">Feature: Task #19</t>
  </si>
  <si>
    <t xml:space="preserve">ITM-020</t>
  </si>
  <si>
    <t xml:space="preserve">Tech Debt: Task #20</t>
  </si>
  <si>
    <t xml:space="preserve">Tech Debt</t>
  </si>
  <si>
    <t xml:space="preserve">ITM-021</t>
  </si>
  <si>
    <t xml:space="preserve">Feature: Task #21</t>
  </si>
  <si>
    <t xml:space="preserve">ITM-022</t>
  </si>
  <si>
    <t xml:space="preserve">Spike: Task #22</t>
  </si>
  <si>
    <t xml:space="preserve">ITM-023</t>
  </si>
  <si>
    <t xml:space="preserve">Feature: Task #23</t>
  </si>
  <si>
    <t xml:space="preserve">ITM-024</t>
  </si>
  <si>
    <t xml:space="preserve">Bug: Task #24</t>
  </si>
  <si>
    <t xml:space="preserve">ITM-025</t>
  </si>
  <si>
    <t xml:space="preserve">Spike: Task #25</t>
  </si>
  <si>
    <t xml:space="preserve">ITM-026</t>
  </si>
  <si>
    <t xml:space="preserve">Bug: Task #26</t>
  </si>
  <si>
    <t xml:space="preserve">ITM-027</t>
  </si>
  <si>
    <t xml:space="preserve">Tech Debt: Task #27</t>
  </si>
  <si>
    <t xml:space="preserve">ITM-028</t>
  </si>
  <si>
    <t xml:space="preserve">Feature: Task #28</t>
  </si>
  <si>
    <t xml:space="preserve">ITM-029</t>
  </si>
  <si>
    <t xml:space="preserve">Feature: Task #29</t>
  </si>
  <si>
    <t xml:space="preserve">ITM-030</t>
  </si>
  <si>
    <t xml:space="preserve">Feature: Task #30</t>
  </si>
  <si>
    <t xml:space="preserve">ITM-031</t>
  </si>
  <si>
    <t xml:space="preserve">Feature: Task #31</t>
  </si>
  <si>
    <t xml:space="preserve">ITM-032</t>
  </si>
  <si>
    <t xml:space="preserve">Feature: Task #32</t>
  </si>
  <si>
    <t xml:space="preserve">ITM-033</t>
  </si>
  <si>
    <t xml:space="preserve">Feature: Task #33</t>
  </si>
  <si>
    <t xml:space="preserve">ITM-034</t>
  </si>
  <si>
    <t xml:space="preserve">Bug: Task #34</t>
  </si>
  <si>
    <t xml:space="preserve">ITM-035</t>
  </si>
  <si>
    <t xml:space="preserve">Bug: Task #35</t>
  </si>
  <si>
    <t xml:space="preserve">ITM-036</t>
  </si>
  <si>
    <t xml:space="preserve">Tech Debt: Task #36</t>
  </si>
  <si>
    <t xml:space="preserve">ITM-037</t>
  </si>
  <si>
    <t xml:space="preserve">Tech Debt: Task #37</t>
  </si>
  <si>
    <t xml:space="preserve">ITM-038</t>
  </si>
  <si>
    <t xml:space="preserve">Bug: Task #38</t>
  </si>
  <si>
    <t xml:space="preserve">ITM-039</t>
  </si>
  <si>
    <t xml:space="preserve">Bug: Task #39</t>
  </si>
  <si>
    <t xml:space="preserve">ITM-040</t>
  </si>
  <si>
    <t xml:space="preserve">Tech Debt: Task #40</t>
  </si>
  <si>
    <t xml:space="preserve">ITM-041</t>
  </si>
  <si>
    <t xml:space="preserve">Tech Debt: Task #41</t>
  </si>
  <si>
    <t xml:space="preserve">ITM-042</t>
  </si>
  <si>
    <t xml:space="preserve">Feature: Task #42</t>
  </si>
  <si>
    <t xml:space="preserve">ITM-043</t>
  </si>
  <si>
    <t xml:space="preserve">Feature: Task #43</t>
  </si>
  <si>
    <t xml:space="preserve">ITM-044</t>
  </si>
  <si>
    <t xml:space="preserve">Tech Debt: Task #44</t>
  </si>
  <si>
    <t xml:space="preserve">ITM-045</t>
  </si>
  <si>
    <t xml:space="preserve">Spike: Task #45</t>
  </si>
  <si>
    <t xml:space="preserve">ITM-046</t>
  </si>
  <si>
    <t xml:space="preserve">Bug: Task #46</t>
  </si>
  <si>
    <t xml:space="preserve">ITM-047</t>
  </si>
  <si>
    <t xml:space="preserve">Feature: Task #47</t>
  </si>
  <si>
    <t xml:space="preserve">ITM-048</t>
  </si>
  <si>
    <t xml:space="preserve">Feature: Task #48</t>
  </si>
  <si>
    <t xml:space="preserve">THONG KE TU DONG (TAT CA LA CONG THUC)</t>
  </si>
  <si>
    <t xml:space="preserve">Items Dang Dev</t>
  </si>
  <si>
    <t xml:space="preserve">Items Dang QA</t>
  </si>
  <si>
    <t xml:space="preserve">Items Dang Final</t>
  </si>
  <si>
    <t xml:space="preserve">Items Backlog</t>
  </si>
  <si>
    <t xml:space="preserve">Avg Cycle Time</t>
  </si>
  <si>
    <t xml:space="preserve">Max Cycle Time</t>
  </si>
  <si>
    <t xml:space="preserve">Min Cycle Time</t>
  </si>
  <si>
    <t xml:space="preserve">Avg Lead Time</t>
  </si>
  <si>
    <t xml:space="preserve">WIP THEO TUNG BUOC (CONG THUC TU DONG)</t>
  </si>
  <si>
    <t xml:space="preserve">Recommend Limit</t>
  </si>
  <si>
    <t xml:space="preserve">DAILY WIP TRACKER — Theo Doi HANG NGAY  |  PM dien cuoi moi ngay lam viec</t>
  </si>
  <si>
    <t xml:space="preserve">Huong dan: Moi ngay cuoi gio, dem so items o tung stage va dien vao. Cong thuc tu dong tinh WIP, status, canh bao.</t>
  </si>
  <si>
    <t xml:space="preserve">TU DONG (CONG THUC)</t>
  </si>
  <si>
    <t xml:space="preserve">Ngay</t>
  </si>
  <si>
    <t xml:space="preserve">Thu</t>
  </si>
  <si>
    <t xml:space="preserve">Rev Design</t>
  </si>
  <si>
    <t xml:space="preserve">Rev Code</t>
  </si>
  <si>
    <t xml:space="preserve">Test VP</t>
  </si>
  <si>
    <t xml:space="preserve">Rev TC</t>
  </si>
  <si>
    <t xml:space="preserve">Test Exec</t>
  </si>
  <si>
    <t xml:space="preserve">WIP Total</t>
  </si>
  <si>
    <t xml:space="preserve">LIMIT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</si>
  <si>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</si>
  <si>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</si>
  <si>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</si>
  <si>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</si>
  <si>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</si>
  <si>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CANH BAO TU DONG (CONG THUC)</t>
  </si>
  <si>
    <t xml:space="preserve">Rev Design vuot limit?</t>
  </si>
  <si>
    <t xml:space="preserve">Review Design WIP &gt; 2</t>
  </si>
  <si>
    <t xml:space="preserve">Rev Code vuot limit?</t>
  </si>
  <si>
    <t xml:space="preserve">Review Code WIP &gt; 2 = bottleneck</t>
  </si>
  <si>
    <t xml:space="preserve">Coding vuot limit?</t>
  </si>
  <si>
    <t xml:space="preserve">Coding WIP &gt; 3</t>
  </si>
  <si>
    <t xml:space="preserve">Rev TC vuot limit?</t>
  </si>
  <si>
    <t xml:space="preserve">Review TC WIP &gt; 2</t>
  </si>
  <si>
    <t xml:space="preserve">Total WIP vuot 9?</t>
  </si>
  <si>
    <t xml:space="preserve">Tong WIP &gt; 9 = flow nghen</t>
  </si>
  <si>
    <t xml:space="preserve">Avg WIP/ngay</t>
  </si>
  <si>
    <t xml:space="preserve">Nen &lt; 9 de flow on dinh</t>
  </si>
  <si>
    <t xml:space="preserve">DU LIEU TONG HOP THEO TUAN  |  PM cap nhat moi Thu Sau  |  5 BIEU DO tu dong</t>
  </si>
  <si>
    <t xml:space="preserve">Cot A-H: NHAP TAY  |  Cot I tro di: TAT CA LA CONG THUC TU DONG  |  Tuong thich Google Sheets</t>
  </si>
  <si>
    <t xml:space="preserve">NHAP: WIP CUOI TUAN</t>
  </si>
  <si>
    <t xml:space="preserve">NHAP: KET QUA TUAN</t>
  </si>
  <si>
    <t xml:space="preserve">TU DONG TINH (CONG THUC — KHONG SUA)</t>
  </si>
  <si>
    <t xml:space="preserve">Ngay Thu 6</t>
  </si>
  <si>
    <t xml:space="preserve">Items Done (tuan nay)</t>
  </si>
  <si>
    <t xml:space="preserve">Gio Done (tuan nay)</t>
  </si>
  <si>
    <t xml:space="preserve">Items Done Tich Luy</t>
  </si>
  <si>
    <t xml:space="preserve">Best Case</t>
  </si>
  <si>
    <t xml:space="preserve">Worst Case</t>
  </si>
  <si>
    <t xml:space="preserve">Throughput Avg (4w)</t>
  </si>
  <si>
    <t xml:space="preserve">Delta TP vs Prev</t>
  </si>
  <si>
    <t xml:space="preserve">% Done Items</t>
  </si>
  <si>
    <t xml:space="preserve">% Done Gio</t>
  </si>
  <si>
    <t xml:space="preserve">WIP Limit(9)</t>
  </si>
  <si>
    <t xml:space="preserve">W01</t>
  </si>
  <si>
    <t xml:space="preserve">W02</t>
  </si>
  <si>
    <t xml:space="preserve">W03</t>
  </si>
  <si>
    <t xml:space="preserve">W04</t>
  </si>
  <si>
    <t xml:space="preserve">W05</t>
  </si>
  <si>
    <t xml:space="preserve">W06</t>
  </si>
  <si>
    <t xml:space="preserve">W07</t>
  </si>
  <si>
    <t xml:space="preserve">W08</t>
  </si>
  <si>
    <t xml:space="preserve">W09</t>
  </si>
  <si>
    <t xml:space="preserve">W10</t>
  </si>
  <si>
    <t xml:space="preserve">CYCLE TIME ANALYSIS  |  Tinh tu Item Log bang cong thuc</t>
  </si>
  <si>
    <t xml:space="preserve">PERCENTILE (CONG THUC TU 'Item Log')</t>
  </si>
  <si>
    <t xml:space="preserve">Value (ngay)</t>
  </si>
  <si>
    <t xml:space="preserve">P50 (Median)</t>
  </si>
  <si>
    <t xml:space="preserve">P70</t>
  </si>
  <si>
    <t xml:space="preserve">P85</t>
  </si>
  <si>
    <t xml:space="preserve">P95</t>
  </si>
  <si>
    <t xml:space="preserve">Average</t>
  </si>
  <si>
    <t xml:space="preserve">Max</t>
  </si>
  <si>
    <t xml:space="preserve">Min</t>
  </si>
  <si>
    <t xml:space="preserve">CYCLE TIME THEO LOAI ITEM (CONG THUC)</t>
  </si>
  <si>
    <t xml:space="preserve">Count</t>
  </si>
  <si>
    <t xml:space="preserve">Avg CT</t>
  </si>
  <si>
    <t xml:space="preserve">Min CT</t>
  </si>
  <si>
    <t xml:space="preserve">Max CT</t>
  </si>
  <si>
    <t xml:space="preserve">CYCLE TIME THEO DEV (CONG THUC)</t>
  </si>
  <si>
    <t xml:space="preserve">PHAN PHOI CT</t>
  </si>
  <si>
    <t xml:space="preserve">Range</t>
  </si>
  <si>
    <t xml:space="preserve">1-3d</t>
  </si>
  <si>
    <t xml:space="preserve">4-6d</t>
  </si>
  <si>
    <t xml:space="preserve">7-9d</t>
  </si>
  <si>
    <t xml:space="preserve">10-12d</t>
  </si>
  <si>
    <t xml:space="preserve">13d+</t>
  </si>
  <si>
    <t xml:space="preserve">MONTE CARLO FORECAST  |  Cong thuc doc tu Weekly Data</t>
  </si>
  <si>
    <t xml:space="preserve">INPUTS (Cong thuc tu dong tu cac sheet khac)</t>
  </si>
  <si>
    <t xml:space="preserve">Items con lai</t>
  </si>
  <si>
    <t xml:space="preserve">items/tuan</t>
  </si>
  <si>
    <t xml:space="preserve">Min Throughput</t>
  </si>
  <si>
    <t xml:space="preserve">Max Throughput</t>
  </si>
  <si>
    <t xml:space="preserve">Tuan da qua</t>
  </si>
  <si>
    <t xml:space="preserve">FORECAST (CONG THUC)</t>
  </si>
  <si>
    <t xml:space="preserve">Confidence</t>
  </si>
  <si>
    <t xml:space="preserve">Tuan Can</t>
  </si>
  <si>
    <t xml:space="preserve">Cong Thuc</t>
  </si>
  <si>
    <t xml:space="preserve">Giai Thich</t>
  </si>
  <si>
    <t xml:space="preserve">50% (Trung binh)</t>
  </si>
  <si>
    <t xml:space="preserve">Items / Avg TP</t>
  </si>
  <si>
    <t xml:space="preserve">70%</t>
  </si>
  <si>
    <t xml:space="preserve">Items / ((Avg+Min)/2)</t>
  </si>
  <si>
    <t xml:space="preserve">85% (Cam ket JP)</t>
  </si>
  <si>
    <t xml:space="preserve">Items / Min TP</t>
  </si>
  <si>
    <t xml:space="preserve">An toan nhat</t>
  </si>
  <si>
    <t xml:space="preserve">95%</t>
  </si>
  <si>
    <t xml:space="preserve">Items / Min TP * 1.2</t>
  </si>
  <si>
    <t xml:space="preserve">LITTLE'S LAW CHECK (CONG THUC)</t>
  </si>
  <si>
    <t xml:space="preserve">Tu Weekly Data</t>
  </si>
  <si>
    <t xml:space="preserve">Tu tren</t>
  </si>
  <si>
    <t xml:space="preserve">CT Du Doan (WIP/TP)</t>
  </si>
  <si>
    <t xml:space="preserve">Dinh luat Little</t>
  </si>
  <si>
    <t xml:space="preserve">Duong=WIP an | Am=flow tot</t>
  </si>
  <si>
    <t xml:space="preserve">REVIEW TRACKER  |  Review Design + Review Code + Review TC  |  Bottleneck Focus</t>
  </si>
  <si>
    <t xml:space="preserve">3 khau Review la BOTTLENECK lon nhat: Review Design (WIP=2), Review Code (WIP=2), Review TC (WIP=2). Quy tac: REVIEW TRUOC, CODE SAU. Reviewer la nguoi khac (cross-review).</t>
  </si>
  <si>
    <t xml:space="preserve">Implementer</t>
  </si>
  <si>
    <t xml:space="preserve">Review Type</t>
  </si>
  <si>
    <t xml:space="preserve">Ngay Bat Dau</t>
  </si>
  <si>
    <t xml:space="preserve">Ngay Xong</t>
  </si>
  <si>
    <t xml:space="preserve">Thoi Gian (ngay)</t>
  </si>
  <si>
    <t xml:space="preserve">THONG KE REVIEW</t>
  </si>
  <si>
    <t xml:space="preserve">Tong Reviews</t>
  </si>
  <si>
    <t xml:space="preserve">Reviews &gt; 2 ngay</t>
  </si>
  <si>
    <t xml:space="preserve">Dang Cho Review</t>
  </si>
  <si>
    <t xml:space="preserve">HUONG DAN SU DUNG — GOOGLE SHEETS COMPATIBLE</t>
  </si>
  <si>
    <t xml:space="preserve">QUY TRINH THUC TE</t>
  </si>
  <si>
    <t xml:space="preserve">  DEV: Detail Design → Review Design → Coding → Review Code → Whitebox (Unit Test)</t>
  </si>
  <si>
    <t xml:space="preserve">  QA : Test Viewpoint → Test Cases → Review TC → Test Execute (chay song song voi Dev)</t>
  </si>
  <si>
    <t xml:space="preserve">  FINAL: Acceptance Test (Senior/Leader/PM) → Done</t>
  </si>
  <si>
    <t xml:space="preserve">  REVIEWER: Nguoi KHAC (review cheo) — Dev_A code thi Dev_B review, QA_1 viet TC thi QA_2 review</t>
  </si>
  <si>
    <t xml:space="preserve">Item Log (NGAY)</t>
  </si>
  <si>
    <t xml:space="preserve">  Nhap NGAY CHINH XAC khi item chuyen sang buoc moi. VD: bat dau Coding → dien ngay vao cot J</t>
  </si>
  <si>
    <t xml:space="preserve">  Cycle Time, Lead Time, Trang Thai, Phase = TU DONG TINH bang cong thuc</t>
  </si>
  <si>
    <t xml:space="preserve">  WIP tung buoc = TU DONG DEM bang COUNTIF</t>
  </si>
  <si>
    <t xml:space="preserve">  Gio Uoc Tinh de bao cao JP. KHONG dung de forecast (dung Throughput thay the)</t>
  </si>
  <si>
    <t xml:space="preserve">Daily WIP (NGAY)</t>
  </si>
  <si>
    <t xml:space="preserve">  MOI NGAY cuoi gio: dem so items DANG NAM o tung buoc tren board, dien vao</t>
  </si>
  <si>
    <t xml:space="preserve">  Cot WIP Dev, WIP QA, WIP Total = CONG THUC tu dong</t>
  </si>
  <si>
    <t xml:space="preserve">  O DO = vuot WIP limit. PM can: dung nhan moi, hoan thanh truoc, ho tro review</t>
  </si>
  <si>
    <t xml:space="preserve">  Canh bao tu dong o duoi bang: Review bottleneck, WIP vuot limit</t>
  </si>
  <si>
    <t xml:space="preserve">Weekly Data + 5 BIEU DO (TUAN)</t>
  </si>
  <si>
    <t xml:space="preserve">  MOI THU SAU: dien 6 o (WIP Dev, WIP QA, WIP Final, Items Done, Gio Done, Tich Luy)</t>
  </si>
  <si>
    <t xml:space="preserve">  TAT CA 12 cot con lai = CONG THUC TU DONG. KHONG SUA.</t>
  </si>
  <si>
    <t xml:space="preserve">  BURNDOWN 3 DUONG: Xanh la (Best) | Xanh dam (Actual) | Do (Worst+Buffer)</t>
  </si>
  <si>
    <t xml:space="preserve">    Actual nam giua Best va Worst = DU AN OK</t>
  </si>
  <si>
    <t xml:space="preserve">    Actual vuot tren Worst = CHAM — can hanh dong ngay</t>
  </si>
  <si>
    <t xml:space="preserve">  CFD: Dai WIP Dev/QA/Final phang to = bottleneck o phase do</t>
  </si>
  <si>
    <t xml:space="preserve">  THROUGHPUT: Cot items done + duong rolling avg 4 tuan</t>
  </si>
  <si>
    <t xml:space="preserve">  WIP CHART: Cot chong 3 phase + duong limit do = 9</t>
  </si>
  <si>
    <t xml:space="preserve">  GIO BURNDOWN: Gio con lai giam dan — gui JP hang tuan</t>
  </si>
  <si>
    <t xml:space="preserve">Cycle Time (TU DONG)</t>
  </si>
  <si>
    <t xml:space="preserve">  TAT CA la cong thuc doc tu Item Log. Khong can nhap gi</t>
  </si>
  <si>
    <t xml:space="preserve">  Percentile, phan phoi, theo loai, theo dev = tu dong</t>
  </si>
  <si>
    <t xml:space="preserve">  Cot P85 va histogram giup nhan biet xu huong</t>
  </si>
  <si>
    <t xml:space="preserve">Monte Carlo &amp; Little's Law (TU DONG)</t>
  </si>
  <si>
    <t xml:space="preserve">  Doc tu Weekly Data va Item Log. Forecast 50/70/85/95%</t>
  </si>
  <si>
    <t xml:space="preserve">  Dung 85% cam ket JP. Little's Law kiem tra WIP an</t>
  </si>
  <si>
    <t xml:space="preserve">Review Tracker (BOTTLENECK)</t>
  </si>
  <si>
    <t xml:space="preserve">  3 khau Review la nguyen nhan chinh gay cham: Rev Design, Rev Code, Rev TC</t>
  </si>
  <si>
    <t xml:space="preserve">  WIP Limit = 2 cho moi khau review. Vuot = DUNG LAI, REVIEW TRUOC</t>
  </si>
  <si>
    <t xml:space="preserve">  Review &gt; 2 ngay = canh bao. PM escalate ngay</t>
  </si>
  <si>
    <t xml:space="preserve">IMPORT VAO GOOGLE SHEETS</t>
  </si>
  <si>
    <t xml:space="preserve">  Buoc 1: Upload file .xlsx nay len Google Drive</t>
  </si>
  <si>
    <t xml:space="preserve">  Buoc 2: Mo bang Google Sheets (tu dong convert)</t>
  </si>
  <si>
    <t xml:space="preserve">  Buoc 3: Kiem tra cong thuc hoat dong (thu thay doi 1 ngay trong Item Log → Cycle Time tu cap nhat)</t>
  </si>
  <si>
    <t xml:space="preserve">  Buoc 4: Tao chart trong Google Sheets tu sheet Weekly Data (Select data → Insert → Chart)</t>
  </si>
  <si>
    <t xml:space="preserve">  Luu y: PERCENTILE.INC trong GSheets la PERCENTILE. AVERAGEIFS, COUNTIFS, SUMPRODUCT deu work.</t>
  </si>
  <si>
    <t xml:space="preserve">  Luu y: Array formula MIN(IF(...)) can Ctrl+Shift+Enter trong GSheets hoac dung MINIFS thay the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</si>
</sst>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General"/>
    <numFmt numFmtId="167" formatCode="0.0"/>
    <numFmt numFmtId="168" formatCode="0.0%"/>
    <numFmt numFmtId="169" formatCode="\+0;\-0;0"/>
    <numFmt numFmtId="170" formatCode="yyyy\-mm\-dd"/>
    <numFmt numFmtId="171" formatCode="dd/mm"/>
  </numFmts>
  <fonts count="4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20"/>
      <color rgb="FF27AE60"/>
      <name val="Arial"/>
      <family val="0"/>
      <charset val="1"/>
    </font>
    <font>
      <b val="true"/>
      <sz val="20"/>
      <color rgb="FF1ABC9C"/>
      <name val="Arial"/>
      <family val="0"/>
      <charset val="1"/>
    </font>
    <font>
      <b val="true"/>
      <sz val="20"/>
      <color rgb="FF2E75B6"/>
      <name val="Arial"/>
      <family val="0"/>
      <charset val="1"/>
    </font>
    <font>
      <b val="true"/>
      <sz val="20"/>
      <color rgb="FFE67E22"/>
      <name val="Arial"/>
      <family val="0"/>
      <charset val="1"/>
    </font>
    <font>
      <b val="true"/>
      <sz val="20"/>
      <color rgb="FF8E44AD"/>
      <name val="Arial"/>
      <family val="0"/>
      <charset val="1"/>
    </font>
    <font>
      <sz val="8"/>
      <color rgb="FF95A5A6"/>
      <name val="Arial"/>
      <family val="0"/>
      <charset val="1"/>
    </font>
    <font>
      <i val="true"/>
      <sz val="7"/>
      <color rgb="FF95A5A6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0"/>
      <color rgb="FF1ABC9C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0"/>
      <color rgb="FF95A5A6"/>
      <name val="Arial"/>
      <family val="0"/>
      <charset val="1"/>
    </font>
    <font>
      <sz val="10"/>
      <color rgb="FF95A5A6"/>
      <name val="Arial"/>
      <family val="0"/>
      <charset val="1"/>
    </font>
    <font>
      <sz val="10"/>
      <color rgb="FF1ABC9C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sz val="10"/>
      <color rgb="FF27AE60"/>
      <name val="Arial"/>
      <family val="0"/>
      <charset val="1"/>
    </font>
    <font>
      <sz val="10"/>
      <color rgb="FFC0392B"/>
      <name val="Arial"/>
      <family val="0"/>
      <charset val="1"/>
    </font>
    <font>
      <b val="true"/>
      <sz val="10"/>
      <color rgb="FF2C3E50"/>
      <name val="Arial"/>
      <family val="0"/>
      <charset val="1"/>
    </font>
    <font>
      <sz val="10"/>
      <color rgb="FFE67E22"/>
      <name val="Arial"/>
      <family val="0"/>
      <charset val="1"/>
    </font>
    <font>
      <sz val="10"/>
      <color rgb="FF2C3E50"/>
      <name val="Arial"/>
      <family val="0"/>
      <charset val="1"/>
    </font>
    <font>
      <b val="true"/>
      <sz val="10"/>
      <color rgb="FFE91E63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0"/>
      <color rgb="FF8E44AD"/>
      <name val="Arial"/>
      <family val="0"/>
      <charset val="1"/>
    </font>
    <font>
      <b val="true"/>
      <sz val="9"/>
      <color rgb="FF2C3E50"/>
      <name val="Arial"/>
      <family val="0"/>
      <charset val="1"/>
    </font>
    <font>
      <i val="true"/>
      <sz val="9"/>
      <color rgb="FF2C3E5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2C3E50"/>
      </patternFill>
    </fill>
    <fill>
      <patternFill patternType="solid">
        <fgColor rgb="FF2E75B6"/>
        <bgColor rgb="FF0066CC"/>
      </patternFill>
    </fill>
    <fill>
      <patternFill patternType="solid">
        <fgColor rgb="FFE67E22"/>
        <bgColor rgb="FFFF9900"/>
      </patternFill>
    </fill>
    <fill>
      <patternFill patternType="solid">
        <fgColor rgb="FF27AE60"/>
        <bgColor rgb="FF1ABC9C"/>
      </patternFill>
    </fill>
    <fill>
      <patternFill patternType="solid">
        <fgColor rgb="FF1ABC9C"/>
        <bgColor rgb="FF27AE60"/>
      </patternFill>
    </fill>
    <fill>
      <patternFill patternType="solid">
        <fgColor rgb="FF8E44AD"/>
        <bgColor rgb="FF993366"/>
      </patternFill>
    </fill>
    <fill>
      <patternFill patternType="solid">
        <fgColor rgb="FFFFFFFF"/>
        <bgColor rgb="FFF9F9F9"/>
      </patternFill>
    </fill>
    <fill>
      <patternFill patternType="solid">
        <fgColor rgb="FFC0392B"/>
        <bgColor rgb="FF993366"/>
      </patternFill>
    </fill>
    <fill>
      <patternFill patternType="solid">
        <fgColor rgb="FFD6E4F0"/>
        <bgColor rgb="FFD9D9D9"/>
      </patternFill>
    </fill>
    <fill>
      <patternFill patternType="solid">
        <fgColor rgb="FFF2F2F2"/>
        <bgColor rgb="FFF9F9F9"/>
      </patternFill>
    </fill>
    <fill>
      <patternFill patternType="solid">
        <fgColor rgb="FFFDECEA"/>
        <bgColor rgb="FFFCE4EC"/>
      </patternFill>
    </fill>
    <fill>
      <patternFill patternType="solid">
        <fgColor rgb="FFE91E63"/>
        <bgColor rgb="FFC0392B"/>
      </patternFill>
    </fill>
    <fill>
      <patternFill patternType="solid">
        <fgColor rgb="FF1E8449"/>
        <bgColor rgb="FF008080"/>
      </patternFill>
    </fill>
    <fill>
      <patternFill patternType="solid">
        <fgColor rgb="FFFDEBD0"/>
        <bgColor rgb="FFFDECEA"/>
      </patternFill>
    </fill>
    <fill>
      <patternFill patternType="solid">
        <fgColor rgb="FFFCE4EC"/>
        <bgColor rgb="FFFDECEA"/>
      </patternFill>
    </fill>
    <fill>
      <patternFill patternType="solid">
        <fgColor rgb="FFF9E79F"/>
        <bgColor rgb="FFFDEBD0"/>
      </patternFill>
    </fill>
    <fill>
      <patternFill patternType="solid">
        <fgColor rgb="FFE8F8F0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0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8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C3E50"/>
          <bgColor rgb="FF000000"/>
        </patternFill>
      </fill>
    </dxf>
    <dxf>
      <fill>
        <patternFill patternType="solid">
          <fgColor rgb="FF1ABC9C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E67E22"/>
          <bgColor rgb="FF000000"/>
        </patternFill>
      </fill>
    </dxf>
    <dxf>
      <fill>
        <patternFill patternType="solid">
          <fgColor rgb="FF95A5A6"/>
          <bgColor rgb="FF000000"/>
        </patternFill>
      </fill>
    </dxf>
    <dxf>
      <fill>
        <patternFill patternType="solid">
          <fgColor rgb="FFE91E63"/>
          <bgColor rgb="FF000000"/>
        </patternFill>
      </fill>
    </dxf>
    <dxf>
      <fill>
        <patternFill patternType="solid">
          <fgColor rgb="FF1E8449"/>
          <bgColor rgb="FF000000"/>
        </patternFill>
      </fill>
    </dxf>
    <dxf>
      <fill>
        <patternFill patternType="solid">
          <fgColor rgb="FF27AE60"/>
          <bgColor rgb="FF000000"/>
        </patternFill>
      </fill>
    </dxf>
    <dxf>
      <fill>
        <patternFill patternType="solid">
          <fgColor rgb="FF8E44AD"/>
          <bgColor rgb="FF000000"/>
        </patternFill>
      </fill>
    </dxf>
  </dxfs>
  <colors>
    <indexedColors>
      <rgbColor rgb="FF000000"/>
      <rgbColor rgb="FFFFFFFF"/>
      <rgbColor rgb="FFE91E6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449"/>
      <rgbColor rgb="FFCCCCCC"/>
      <rgbColor rgb="FF878787"/>
      <rgbColor rgb="FF9999FF"/>
      <rgbColor rgb="FF8E44AD"/>
      <rgbColor rgb="FFFDEBD0"/>
      <rgbColor rgb="FFE8F8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F2F2F2"/>
      <rgbColor rgb="FFF9E79F"/>
      <rgbColor rgb="FFB3B3B3"/>
      <rgbColor rgb="FFFDECEA"/>
      <rgbColor rgb="FFF9F9F9"/>
      <rgbColor rgb="FFFCE4EC"/>
      <rgbColor rgb="FF2E75B6"/>
      <rgbColor rgb="FF1ABC9C"/>
      <rgbColor rgb="FF99CC00"/>
      <rgbColor rgb="FFFFCC00"/>
      <rgbColor rgb="FFFF9900"/>
      <rgbColor rgb="FFE67E22"/>
      <rgbColor rgb="FF666699"/>
      <rgbColor rgb="FF95A5A6"/>
      <rgbColor rgb="FF1F3864"/>
      <rgbColor rgb="FF27AE60"/>
      <rgbColor rgb="FF003300"/>
      <rgbColor rgb="FF333300"/>
      <rgbColor rgb="FFC0392B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BURNDOWN CHART — Best | Actual | Worst (THEO TUAN)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"Best Case (Ideal)"</c:f>
              <c:strCache>
                <c:ptCount val="1"/>
                <c:pt idx="0">
                  <c:v>Best Case (Ideal)</c:v>
                </c:pt>
              </c:strCache>
            </c:strRef>
          </c:tx>
          <c:spPr>
            <a:solidFill>
              <a:srgbClr val="27ae60"/>
            </a:solidFill>
            <a:ln w="21960">
              <a:solidFill>
                <a:srgbClr val="27ae6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Data'!$A$5:$A$14</c:f>
              <c:strCache>
                <c:ptCount val="10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</c:strCache>
            </c:strRef>
          </c:cat>
          <c:val>
            <c:numRef>
              <c:f>'Weekly Data'!$K$4:$K$14</c:f>
              <c:numCache>
                <c:formatCode>0.0</c:formatCode>
                <c:ptCount val="11"/>
                <c:pt idx="1">
                  <c:v>43.2</c:v>
                </c:pt>
                <c:pt idx="2">
                  <c:v>38.4</c:v>
                </c:pt>
                <c:pt idx="3">
                  <c:v>33.6</c:v>
                </c:pt>
                <c:pt idx="4">
                  <c:v>28.8</c:v>
                </c:pt>
                <c:pt idx="5">
                  <c:v>24</c:v>
                </c:pt>
                <c:pt idx="6">
                  <c:v>19.2</c:v>
                </c:pt>
                <c:pt idx="7">
                  <c:v>14.4</c:v>
                </c:pt>
                <c:pt idx="8">
                  <c:v>9.6</c:v>
                </c:pt>
                <c:pt idx="9">
                  <c:v>4.8</c:v>
                </c:pt>
                <c:pt idx="10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"Actual"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2e75b6"/>
            </a:solidFill>
            <a:ln w="34920">
              <a:solidFill>
                <a:srgbClr val="2e75b6"/>
              </a:solidFill>
              <a:round/>
            </a:ln>
          </c:spPr>
          <c:marker>
            <c:symbol val="circle"/>
            <c:size val="7"/>
            <c:spPr>
              <a:solidFill>
                <a:srgbClr val="2e75b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Data'!$A$5:$A$14</c:f>
              <c:strCache>
                <c:ptCount val="10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</c:strCache>
            </c:strRef>
          </c:cat>
          <c:val>
            <c:numRef>
              <c:f>'Weekly Data'!$J$4:$J$14</c:f>
              <c:numCache>
                <c:formatCode>General</c:formatCode>
                <c:ptCount val="11"/>
                <c:pt idx="1">
                  <c:v>41</c:v>
                </c:pt>
                <c:pt idx="2">
                  <c:v>34</c:v>
                </c:pt>
                <c:pt idx="3">
                  <c:v>27</c:v>
                </c:pt>
                <c:pt idx="4">
                  <c:v>24</c:v>
                </c:pt>
                <c:pt idx="5">
                  <c:v>20</c:v>
                </c:pt>
                <c:pt idx="6">
                  <c:v>12</c:v>
                </c:pt>
                <c:pt idx="7">
                  <c:v>4</c:v>
                </c:pt>
                <c:pt idx="8">
                  <c:v>-3</c:v>
                </c:pt>
                <c:pt idx="9">
                  <c:v>-7</c:v>
                </c:pt>
                <c:pt idx="10">
                  <c:v>-10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"Worst Case (Must Deadline + Buffer)"</c:f>
              <c:strCache>
                <c:ptCount val="1"/>
                <c:pt idx="0">
                  <c:v>Worst Case (Must Deadline + Buffer)</c:v>
                </c:pt>
              </c:strCache>
            </c:strRef>
          </c:tx>
          <c:spPr>
            <a:solidFill>
              <a:srgbClr val="c0392b"/>
            </a:solidFill>
            <a:ln w="2196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Data'!$A$5:$A$14</c:f>
              <c:strCache>
                <c:ptCount val="10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</c:strCache>
            </c:strRef>
          </c:cat>
          <c:val>
            <c:numRef>
              <c:f>'Weekly Data'!$L$4:$L$14</c:f>
              <c:numCache>
                <c:formatCode>0.0</c:formatCode>
                <c:ptCount val="11"/>
                <c:pt idx="1">
                  <c:v>46.1019588774946</c:v>
                </c:pt>
                <c:pt idx="2">
                  <c:v>43.3264745514571</c:v>
                </c:pt>
                <c:pt idx="3">
                  <c:v>40.0829525353626</c:v>
                </c:pt>
                <c:pt idx="4">
                  <c:v>36.4924305068022</c:v>
                </c:pt>
                <c:pt idx="5">
                  <c:v>32.6196356700873</c:v>
                </c:pt>
                <c:pt idx="6">
                  <c:v>28.5059424874503</c:v>
                </c:pt>
                <c:pt idx="7">
                  <c:v>24.1804764898414</c:v>
                </c:pt>
                <c:pt idx="8">
                  <c:v>19.6650402145422</c:v>
                </c:pt>
                <c:pt idx="9">
                  <c:v>14.9766688328735</c:v>
                </c:pt>
                <c:pt idx="10">
                  <c:v>10.129100760037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8247794"/>
        <c:axId val="1589471"/>
      </c:lineChart>
      <c:catAx>
        <c:axId val="182477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Tuan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9471"/>
        <c:crosses val="autoZero"/>
        <c:auto val="1"/>
        <c:lblAlgn val="ctr"/>
        <c:lblOffset val="100"/>
        <c:noMultiLvlLbl val="0"/>
      </c:catAx>
      <c:valAx>
        <c:axId val="1589471"/>
        <c:scaling>
          <c:orientation val="minMax"/>
          <c:max val="5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Items Con Lai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2477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CFD — Cumulative Flow Diagram (THEO TUAN)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cked"/>
        <c:ser>
          <c:idx val="0"/>
          <c:order val="0"/>
          <c:tx>
            <c:strRef>
              <c:f>"WIP Dev"</c:f>
              <c:strCache>
                <c:ptCount val="1"/>
                <c:pt idx="0">
                  <c:v>WIP Dev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Data'!$A$5:$A$14</c:f>
              <c:strCache>
                <c:ptCount val="10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</c:strCache>
            </c:strRef>
          </c:cat>
          <c:val>
            <c:numRef>
              <c:f>'Weekly Data'!$C$4:$C$14</c:f>
              <c:numCache>
                <c:formatCode>General</c:formatCode>
                <c:ptCount val="11"/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</c:numCache>
            </c:numRef>
          </c:val>
        </c:ser>
        <c:ser>
          <c:idx val="1"/>
          <c:order val="1"/>
          <c:tx>
            <c:strRef>
              <c:f>"WIP QA"</c:f>
              <c:strCache>
                <c:ptCount val="1"/>
                <c:pt idx="0">
                  <c:v>WIP QA</c:v>
                </c:pt>
              </c:strCache>
            </c:strRef>
          </c:tx>
          <c:spPr>
            <a:solidFill>
              <a:srgbClr val="e91e63"/>
            </a:solidFill>
            <a:ln w="9360">
              <a:solidFill>
                <a:srgbClr val="f9f9f9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Data'!$A$5:$A$14</c:f>
              <c:strCache>
                <c:ptCount val="10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</c:strCache>
            </c:strRef>
          </c:cat>
          <c:val>
            <c:numRef>
              <c:f>'Weekly Data'!$D$4:$D$14</c:f>
              <c:numCache>
                <c:formatCode>General</c:formatCode>
                <c:ptCount val="11"/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</c:numCache>
            </c:numRef>
          </c:val>
        </c:ser>
        <c:ser>
          <c:idx val="2"/>
          <c:order val="2"/>
          <c:tx>
            <c:strRef>
              <c:f>"WIP Final"</c:f>
              <c:strCache>
                <c:ptCount val="1"/>
                <c:pt idx="0">
                  <c:v>WIP Final</c:v>
                </c:pt>
              </c:strCache>
            </c:strRef>
          </c:tx>
          <c:spPr>
            <a:solidFill>
              <a:srgbClr val="f9e79f"/>
            </a:solidFill>
            <a:ln w="9360">
              <a:solidFill>
                <a:srgbClr val="f9f9f9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Data'!$A$5:$A$14</c:f>
              <c:strCache>
                <c:ptCount val="10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</c:strCache>
            </c:strRef>
          </c:cat>
          <c:val>
            <c:numRef>
              <c:f>'Weekly Data'!$E$4:$E$14</c:f>
              <c:numCache>
                <c:formatCode>General</c:formatCode>
                <c:ptCount val="11"/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</c:ser>
        <c:ser>
          <c:idx val="3"/>
          <c:order val="3"/>
          <c:tx>
            <c:strRef>
              <c:f>"Done (Tich Luy)"</c:f>
              <c:strCache>
                <c:ptCount val="1"/>
                <c:pt idx="0">
                  <c:v>Done (Tich Luy)</c:v>
                </c:pt>
              </c:strCache>
            </c:strRef>
          </c:tx>
          <c:spPr>
            <a:solidFill>
              <a:srgbClr val="27ae60"/>
            </a:solidFill>
            <a:ln w="9360">
              <a:solidFill>
                <a:srgbClr val="f9f9f9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Data'!$A$5:$A$14</c:f>
              <c:strCache>
                <c:ptCount val="10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</c:strCache>
            </c:strRef>
          </c:cat>
          <c:val>
            <c:numRef>
              <c:f>'Weekly Data'!$H$4:$H$14</c:f>
              <c:numCache>
                <c:formatCode>General</c:formatCode>
                <c:ptCount val="11"/>
                <c:pt idx="1">
                  <c:v>7</c:v>
                </c:pt>
                <c:pt idx="2">
                  <c:v>14</c:v>
                </c:pt>
                <c:pt idx="3">
                  <c:v>21</c:v>
                </c:pt>
                <c:pt idx="4">
                  <c:v>24</c:v>
                </c:pt>
                <c:pt idx="5">
                  <c:v>28</c:v>
                </c:pt>
                <c:pt idx="6">
                  <c:v>36</c:v>
                </c:pt>
                <c:pt idx="7">
                  <c:v>44</c:v>
                </c:pt>
                <c:pt idx="8">
                  <c:v>51</c:v>
                </c:pt>
                <c:pt idx="9">
                  <c:v>55</c:v>
                </c:pt>
                <c:pt idx="10">
                  <c:v>58</c:v>
                </c:pt>
              </c:numCache>
            </c:numRef>
          </c:val>
        </c:ser>
        <c:axId val="81495260"/>
        <c:axId val="8363288"/>
      </c:areaChart>
      <c:catAx>
        <c:axId val="814952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63288"/>
        <c:crosses val="autoZero"/>
        <c:auto val="1"/>
        <c:lblAlgn val="ctr"/>
        <c:lblOffset val="100"/>
        <c:noMultiLvlLbl val="0"/>
      </c:catAx>
      <c:valAx>
        <c:axId val="83632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49526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THROUGHPUT — Items Done / Tuan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"Items Done"</c:f>
              <c:strCache>
                <c:ptCount val="1"/>
                <c:pt idx="0">
                  <c:v>Items Done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Data'!$A$5:$A$14</c:f>
              <c:strCache>
                <c:ptCount val="10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</c:strCache>
            </c:strRef>
          </c:cat>
          <c:val>
            <c:numRef>
              <c:f>'Weekly Data'!$F$4:$F$14</c:f>
              <c:numCache>
                <c:formatCode>General</c:formatCode>
                <c:ptCount val="11"/>
                <c:pt idx="1">
                  <c:v>6</c:v>
                </c:pt>
                <c:pt idx="2">
                  <c:v>7</c:v>
                </c:pt>
                <c:pt idx="3">
                  <c:v>7</c:v>
                </c:pt>
                <c:pt idx="4">
                  <c:v>3</c:v>
                </c:pt>
                <c:pt idx="5">
                  <c:v>4</c:v>
                </c:pt>
                <c:pt idx="6">
                  <c:v>8</c:v>
                </c:pt>
                <c:pt idx="7">
                  <c:v>8</c:v>
                </c:pt>
                <c:pt idx="8">
                  <c:v>7</c:v>
                </c:pt>
                <c:pt idx="9">
                  <c:v>4</c:v>
                </c:pt>
                <c:pt idx="10">
                  <c:v>3</c:v>
                </c:pt>
              </c:numCache>
            </c:numRef>
          </c:val>
        </c:ser>
        <c:gapWidth val="150"/>
        <c:overlap val="0"/>
        <c:axId val="3802682"/>
        <c:axId val="24709306"/>
      </c:barChart>
      <c:lineChart>
        <c:grouping val="standard"/>
        <c:varyColors val="0"/>
        <c:ser>
          <c:idx val="1"/>
          <c:order val="1"/>
          <c:tx>
            <c:strRef>
              <c:f>"4-Week Avg"</c:f>
              <c:strCache>
                <c:ptCount val="1"/>
                <c:pt idx="0">
                  <c:v>4-Week Avg</c:v>
                </c:pt>
              </c:strCache>
            </c:strRef>
          </c:tx>
          <c:spPr>
            <a:solidFill>
              <a:srgbClr val="e67e22"/>
            </a:solidFill>
            <a:ln w="21960">
              <a:solidFill>
                <a:srgbClr val="e67e2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Data'!$A$5:$A$14</c:f>
              <c:strCache>
                <c:ptCount val="10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</c:strCache>
            </c:strRef>
          </c:cat>
          <c:val>
            <c:numRef>
              <c:f>'Weekly Data'!$M$4:$M$14</c:f>
              <c:numCache>
                <c:formatCode>0.0</c:formatCode>
                <c:ptCount val="11"/>
                <c:pt idx="1">
                  <c:v>6</c:v>
                </c:pt>
                <c:pt idx="2">
                  <c:v>6.5</c:v>
                </c:pt>
                <c:pt idx="3">
                  <c:v>6.66666666666667</c:v>
                </c:pt>
                <c:pt idx="4">
                  <c:v>5.75</c:v>
                </c:pt>
                <c:pt idx="5">
                  <c:v>5.25</c:v>
                </c:pt>
                <c:pt idx="6">
                  <c:v>5.5</c:v>
                </c:pt>
                <c:pt idx="7">
                  <c:v>5.75</c:v>
                </c:pt>
                <c:pt idx="8">
                  <c:v>6.75</c:v>
                </c:pt>
                <c:pt idx="9">
                  <c:v>6.75</c:v>
                </c:pt>
                <c:pt idx="10">
                  <c:v>5.5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802682"/>
        <c:axId val="24709306"/>
      </c:lineChart>
      <c:catAx>
        <c:axId val="380268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709306"/>
        <c:crosses val="autoZero"/>
        <c:auto val="1"/>
        <c:lblAlgn val="ctr"/>
        <c:lblOffset val="100"/>
        <c:noMultiLvlLbl val="0"/>
      </c:catAx>
      <c:valAx>
        <c:axId val="247093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Items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026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WIP THEO PHASE — Snapshot Cuoi Tuan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"Dev"</c:f>
              <c:strCache>
                <c:ptCount val="1"/>
                <c:pt idx="0">
                  <c:v>Dev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Data'!$A$5:$A$14</c:f>
              <c:strCache>
                <c:ptCount val="10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</c:strCache>
            </c:strRef>
          </c:cat>
          <c:val>
            <c:numRef>
              <c:f>'Weekly Data'!$C$4:$C$14</c:f>
              <c:numCache>
                <c:formatCode>General</c:formatCode>
                <c:ptCount val="11"/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</c:numCache>
            </c:numRef>
          </c:val>
        </c:ser>
        <c:ser>
          <c:idx val="1"/>
          <c:order val="1"/>
          <c:tx>
            <c:strRef>
              <c:f>"QA"</c:f>
              <c:strCache>
                <c:ptCount val="1"/>
                <c:pt idx="0">
                  <c:v>QA</c:v>
                </c:pt>
              </c:strCache>
            </c:strRef>
          </c:tx>
          <c:spPr>
            <a:solidFill>
              <a:srgbClr val="e91e6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Data'!$A$5:$A$14</c:f>
              <c:strCache>
                <c:ptCount val="10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</c:strCache>
            </c:strRef>
          </c:cat>
          <c:val>
            <c:numRef>
              <c:f>'Weekly Data'!$D$4:$D$14</c:f>
              <c:numCache>
                <c:formatCode>General</c:formatCode>
                <c:ptCount val="11"/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</c:numCache>
            </c:numRef>
          </c:val>
        </c:ser>
        <c:ser>
          <c:idx val="2"/>
          <c:order val="2"/>
          <c:tx>
            <c:strRef>
              <c:f>"Final"</c:f>
              <c:strCache>
                <c:ptCount val="1"/>
                <c:pt idx="0">
                  <c:v>Final</c:v>
                </c:pt>
              </c:strCache>
            </c:strRef>
          </c:tx>
          <c:spPr>
            <a:solidFill>
              <a:srgbClr val="f9e79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Data'!$A$5:$A$14</c:f>
              <c:strCache>
                <c:ptCount val="10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</c:strCache>
            </c:strRef>
          </c:cat>
          <c:val>
            <c:numRef>
              <c:f>'Weekly Data'!$E$4:$E$14</c:f>
              <c:numCache>
                <c:formatCode>General</c:formatCode>
                <c:ptCount val="11"/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</c:ser>
        <c:gapWidth val="150"/>
        <c:overlap val="100"/>
        <c:axId val="70566029"/>
        <c:axId val="38335487"/>
      </c:barChart>
      <c:lineChart>
        <c:grouping val="stacked"/>
        <c:varyColors val="0"/>
        <c:ser>
          <c:idx val="3"/>
          <c:order val="3"/>
          <c:tx>
            <c:strRef>
              <c:f>"Limit (9)"</c:f>
              <c:strCache>
                <c:ptCount val="1"/>
                <c:pt idx="0">
                  <c:v>Limit (9)</c:v>
                </c:pt>
              </c:strCache>
            </c:strRef>
          </c:tx>
          <c:spPr>
            <a:solidFill>
              <a:srgbClr val="c0392b"/>
            </a:solidFill>
            <a:ln w="1800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Data'!$A$5:$A$14</c:f>
              <c:strCache>
                <c:ptCount val="10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</c:strCache>
            </c:strRef>
          </c:cat>
          <c:val>
            <c:numRef>
              <c:f>'Weekly Data'!$S$4:$S$14</c:f>
              <c:numCache>
                <c:formatCode>General</c:formatCode>
                <c:ptCount val="11"/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0566029"/>
        <c:axId val="38335487"/>
      </c:lineChart>
      <c:catAx>
        <c:axId val="705660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335487"/>
        <c:crosses val="autoZero"/>
        <c:auto val="1"/>
        <c:lblAlgn val="ctr"/>
        <c:lblOffset val="100"/>
        <c:noMultiLvlLbl val="0"/>
      </c:catAx>
      <c:valAx>
        <c:axId val="383354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Items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5660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GIO CON LAI — Burndown Gio (Bao Cao JP)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"Gio Con Lai"</c:f>
              <c:strCache>
                <c:ptCount val="1"/>
                <c:pt idx="0">
                  <c:v>Gio Con Lai</c:v>
                </c:pt>
              </c:strCache>
            </c:strRef>
          </c:tx>
          <c:spPr>
            <a:solidFill>
              <a:srgbClr val="1abc9c"/>
            </a:solidFill>
            <a:ln w="29880">
              <a:solidFill>
                <a:srgbClr val="1abc9c"/>
              </a:solidFill>
              <a:round/>
            </a:ln>
          </c:spPr>
          <c:marker>
            <c:symbol val="square"/>
            <c:size val="6"/>
            <c:spPr>
              <a:solidFill>
                <a:srgbClr val="1abc9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Data'!$A$5:$A$14</c:f>
              <c:strCache>
                <c:ptCount val="10"/>
                <c:pt idx="0">
                  <c:v>W01</c:v>
                </c:pt>
                <c:pt idx="1">
                  <c:v>W02</c:v>
                </c:pt>
                <c:pt idx="2">
                  <c:v>W03</c:v>
                </c:pt>
                <c:pt idx="3">
                  <c:v>W04</c:v>
                </c:pt>
                <c:pt idx="4">
                  <c:v>W05</c:v>
                </c:pt>
                <c:pt idx="5">
                  <c:v>W06</c:v>
                </c:pt>
                <c:pt idx="6">
                  <c:v>W07</c:v>
                </c:pt>
                <c:pt idx="7">
                  <c:v>W08</c:v>
                </c:pt>
                <c:pt idx="8">
                  <c:v>W09</c:v>
                </c:pt>
                <c:pt idx="9">
                  <c:v>W10</c:v>
                </c:pt>
              </c:strCache>
            </c:strRef>
          </c:cat>
          <c:val>
            <c:numRef>
              <c:f>'Weekly Data'!$O$4:$O$14</c:f>
              <c:numCache>
                <c:formatCode>General</c:formatCode>
                <c:ptCount val="11"/>
                <c:pt idx="1">
                  <c:v>660</c:v>
                </c:pt>
                <c:pt idx="2">
                  <c:v>562</c:v>
                </c:pt>
                <c:pt idx="3">
                  <c:v>443</c:v>
                </c:pt>
                <c:pt idx="4">
                  <c:v>392</c:v>
                </c:pt>
                <c:pt idx="5">
                  <c:v>324</c:v>
                </c:pt>
                <c:pt idx="6">
                  <c:v>172</c:v>
                </c:pt>
                <c:pt idx="7">
                  <c:v>76</c:v>
                </c:pt>
                <c:pt idx="8">
                  <c:v>-8</c:v>
                </c:pt>
                <c:pt idx="9">
                  <c:v>-88</c:v>
                </c:pt>
                <c:pt idx="10">
                  <c:v>-145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91224044"/>
        <c:axId val="91718226"/>
      </c:lineChart>
      <c:catAx>
        <c:axId val="912240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718226"/>
        <c:crosses val="autoZero"/>
        <c:auto val="1"/>
        <c:lblAlgn val="ctr"/>
        <c:lblOffset val="100"/>
        <c:noMultiLvlLbl val="0"/>
      </c:catAx>
      <c:valAx>
        <c:axId val="917182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2240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Phan Phoi Cycle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'Cycle Time'!B29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'Cycle Time'!$A$30:$A$34</c:f>
              <c:strCache>
                <c:ptCount val="5"/>
                <c:pt idx="0">
                  <c:v>1-3d</c:v>
                </c:pt>
                <c:pt idx="1">
                  <c:v>4-6d</c:v>
                </c:pt>
                <c:pt idx="2">
                  <c:v>7-9d</c:v>
                </c:pt>
                <c:pt idx="3">
                  <c:v>10-12d</c:v>
                </c:pt>
                <c:pt idx="4">
                  <c:v>13d+</c:v>
                </c:pt>
              </c:strCache>
            </c:strRef>
          </c:cat>
          <c:val>
            <c:numRef>
              <c:f>'Cycle Time'!$B$30:$B$34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26</c:v>
                </c:pt>
                <c:pt idx="3">
                  <c:v>7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75804036"/>
        <c:axId val="76918199"/>
      </c:barChart>
      <c:catAx>
        <c:axId val="758040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918199"/>
        <c:crosses val="autoZero"/>
        <c:auto val="1"/>
        <c:lblAlgn val="ctr"/>
        <c:lblOffset val="100"/>
        <c:noMultiLvlLbl val="0"/>
      </c:catAx>
      <c:valAx>
        <c:axId val="769181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8040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78120</xdr:rowOff>
    </xdr:from>
    <xdr:to>
      <xdr:col>12</xdr:col>
      <xdr:colOff>915840</xdr:colOff>
      <xdr:row>50</xdr:row>
      <xdr:rowOff>100800</xdr:rowOff>
    </xdr:to>
    <xdr:graphicFrame>
      <xdr:nvGraphicFramePr>
        <xdr:cNvPr id="0" name="Chart 1"/>
        <xdr:cNvGraphicFramePr/>
      </xdr:nvGraphicFramePr>
      <xdr:xfrm>
        <a:off x="0" y="3802320"/>
        <a:ext cx="10078920" cy="61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36</xdr:row>
      <xdr:rowOff>78120</xdr:rowOff>
    </xdr:from>
    <xdr:to>
      <xdr:col>12</xdr:col>
      <xdr:colOff>915840</xdr:colOff>
      <xdr:row>68</xdr:row>
      <xdr:rowOff>100800</xdr:rowOff>
    </xdr:to>
    <xdr:graphicFrame>
      <xdr:nvGraphicFramePr>
        <xdr:cNvPr id="1" name="Chart 2"/>
        <xdr:cNvGraphicFramePr/>
      </xdr:nvGraphicFramePr>
      <xdr:xfrm>
        <a:off x="0" y="7231320"/>
        <a:ext cx="10078920" cy="61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53</xdr:row>
      <xdr:rowOff>78120</xdr:rowOff>
    </xdr:from>
    <xdr:to>
      <xdr:col>12</xdr:col>
      <xdr:colOff>915840</xdr:colOff>
      <xdr:row>81</xdr:row>
      <xdr:rowOff>142920</xdr:rowOff>
    </xdr:to>
    <xdr:graphicFrame>
      <xdr:nvGraphicFramePr>
        <xdr:cNvPr id="2" name="Chart 3"/>
        <xdr:cNvGraphicFramePr/>
      </xdr:nvGraphicFramePr>
      <xdr:xfrm>
        <a:off x="0" y="10469880"/>
        <a:ext cx="10078920" cy="53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70</xdr:row>
      <xdr:rowOff>78120</xdr:rowOff>
    </xdr:from>
    <xdr:to>
      <xdr:col>12</xdr:col>
      <xdr:colOff>915840</xdr:colOff>
      <xdr:row>98</xdr:row>
      <xdr:rowOff>142920</xdr:rowOff>
    </xdr:to>
    <xdr:graphicFrame>
      <xdr:nvGraphicFramePr>
        <xdr:cNvPr id="3" name="Chart 4"/>
        <xdr:cNvGraphicFramePr/>
      </xdr:nvGraphicFramePr>
      <xdr:xfrm>
        <a:off x="0" y="13708440"/>
        <a:ext cx="10078920" cy="53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86</xdr:row>
      <xdr:rowOff>78120</xdr:rowOff>
    </xdr:from>
    <xdr:to>
      <xdr:col>12</xdr:col>
      <xdr:colOff>915840</xdr:colOff>
      <xdr:row>112</xdr:row>
      <xdr:rowOff>164160</xdr:rowOff>
    </xdr:to>
    <xdr:graphicFrame>
      <xdr:nvGraphicFramePr>
        <xdr:cNvPr id="4" name="Chart 5"/>
        <xdr:cNvGraphicFramePr/>
      </xdr:nvGraphicFramePr>
      <xdr:xfrm>
        <a:off x="0" y="16756560"/>
        <a:ext cx="10078920" cy="50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17</xdr:col>
      <xdr:colOff>363600</xdr:colOff>
      <xdr:row>25</xdr:row>
      <xdr:rowOff>185040</xdr:rowOff>
    </xdr:to>
    <xdr:graphicFrame>
      <xdr:nvGraphicFramePr>
        <xdr:cNvPr id="5" name="Chart 1"/>
        <xdr:cNvGraphicFramePr/>
      </xdr:nvGraphicFramePr>
      <xdr:xfrm>
        <a:off x="5122440" y="571680"/>
        <a:ext cx="6478920" cy="4671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R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8" min="1" style="0" width="11"/>
  </cols>
  <sheetData>
    <row r="1" customFormat="false" ht="4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6" hidden="false" customHeight="true" outlineLevel="0" collapsed="false"/>
    <row r="5" customFormat="false" ht="15" hidden="false" customHeight="fals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customFormat="false" ht="19.5" hidden="false" customHeight="true" outlineLevel="0" collapsed="false">
      <c r="A6" s="5" t="s">
        <v>4</v>
      </c>
      <c r="B6" s="5"/>
      <c r="C6" s="5"/>
      <c r="D6" s="6" t="s">
        <v>5</v>
      </c>
      <c r="E6" s="6"/>
      <c r="F6" s="6"/>
      <c r="G6" s="7" t="s">
        <v>6</v>
      </c>
      <c r="H6" s="7"/>
      <c r="I6" s="7"/>
      <c r="J6" s="8" t="s">
        <v>7</v>
      </c>
      <c r="K6" s="8"/>
      <c r="L6" s="8"/>
      <c r="M6" s="9" t="s">
        <v>8</v>
      </c>
      <c r="N6" s="9"/>
      <c r="O6" s="9"/>
      <c r="P6" s="10" t="s">
        <v>9</v>
      </c>
      <c r="Q6" s="10"/>
      <c r="R6" s="10"/>
    </row>
    <row r="7" customFormat="false" ht="36" hidden="false" customHeight="true" outlineLevel="0" collapsed="false">
      <c r="A7" s="11" t="n">
        <v>48</v>
      </c>
      <c r="B7" s="11"/>
      <c r="C7" s="11"/>
      <c r="D7" s="12" t="n">
        <f aca="false">'Item Log'!F55</f>
        <v>36</v>
      </c>
      <c r="E7" s="12"/>
      <c r="F7" s="12"/>
      <c r="G7" s="13" t="n">
        <f aca="false">'Item Log'!F56+'Item Log'!F57+'Item Log'!F58</f>
        <v>12</v>
      </c>
      <c r="H7" s="13"/>
      <c r="I7" s="13"/>
      <c r="J7" s="14" t="n">
        <f aca="false">IFERROR(AVERAGE('Weekly Data'!F5:F14),"")</f>
        <v>5.7</v>
      </c>
      <c r="K7" s="14"/>
      <c r="L7" s="14"/>
      <c r="M7" s="15" t="n">
        <f aca="false">IFERROR(PERCENTILE('Item Log'!S4:S51,0.85),"")</f>
        <v>10.75</v>
      </c>
      <c r="N7" s="15"/>
      <c r="O7" s="15"/>
      <c r="P7" s="16" t="n">
        <f aca="false">IFERROR(('Item Log'!F56+'Item Log'!F57+'Item Log'!F58)/AVERAGE('Weekly Data'!F5:F14),"")</f>
        <v>2.10526315789474</v>
      </c>
      <c r="Q7" s="16"/>
      <c r="R7" s="16"/>
    </row>
    <row r="8" customFormat="false" ht="15.75" hidden="false" customHeight="true" outlineLevel="0" collapsed="false">
      <c r="A8" s="17" t="s">
        <v>10</v>
      </c>
      <c r="B8" s="17"/>
      <c r="C8" s="17"/>
      <c r="D8" s="17" t="s">
        <v>11</v>
      </c>
      <c r="E8" s="17"/>
      <c r="F8" s="17"/>
      <c r="G8" s="17" t="s">
        <v>12</v>
      </c>
      <c r="H8" s="17"/>
      <c r="I8" s="17"/>
      <c r="J8" s="17" t="s">
        <v>13</v>
      </c>
      <c r="K8" s="17"/>
      <c r="L8" s="17"/>
      <c r="M8" s="17" t="s">
        <v>14</v>
      </c>
      <c r="N8" s="17"/>
      <c r="O8" s="17"/>
      <c r="P8" s="17" t="s">
        <v>15</v>
      </c>
      <c r="Q8" s="17"/>
      <c r="R8" s="17"/>
    </row>
    <row r="9" customFormat="false" ht="13.5" hidden="false" customHeight="true" outlineLevel="0" collapsed="false">
      <c r="A9" s="18" t="str">
        <f aca="false">"Done: "&amp;'Item Log'!F55&amp;" | Con: "&amp;(48-'Item Log'!F55)</f>
        <v>Done: 36 | Con: 12</v>
      </c>
      <c r="B9" s="18"/>
      <c r="C9" s="18"/>
      <c r="D9" s="18" t="str">
        <f aca="false">TEXT('Item Log'!F67,"0.0%")&amp;" completion"</f>
        <v>75.0% completion</v>
      </c>
      <c r="E9" s="18"/>
      <c r="F9" s="18"/>
      <c r="G9" s="18" t="str">
        <f aca="false">"Dev: "&amp;'Item Log'!F56&amp;" | QA: "&amp;'Item Log'!F57&amp;" | Final: "&amp;'Item Log'!F58</f>
        <v>Dev: 3 | QA: 8 | Final: 1</v>
      </c>
      <c r="H9" s="18"/>
      <c r="I9" s="18"/>
      <c r="J9" s="18" t="str">
        <f aca="false">"Min: "&amp;MIN('Weekly Data'!F5:F14)&amp;" | Max: "&amp;MAX('Weekly Data'!F5:F14)</f>
        <v>Min: 3 | Max: 8</v>
      </c>
      <c r="K9" s="18"/>
      <c r="L9" s="18"/>
      <c r="M9" s="18" t="str">
        <f aca="false">"P50: "&amp;ROUND(MEDIAN('Item Log'!S4:S51),0)&amp;"d | Avg: "&amp;ROUND(AVERAGEIF('Item Log'!S4:S51,"&gt;0"),1)&amp;"d"</f>
        <v>P50: 9d | Avg: 8.8d</v>
      </c>
      <c r="N9" s="18"/>
      <c r="O9" s="18"/>
      <c r="P9" s="18" t="s">
        <v>16</v>
      </c>
      <c r="Q9" s="18"/>
      <c r="R9" s="18"/>
    </row>
    <row r="10" customFormat="false" ht="6" hidden="false" customHeight="true" outlineLevel="0" collapsed="false"/>
    <row r="11" customFormat="false" ht="15" hidden="false" customHeight="false" outlineLevel="0" collapsed="false">
      <c r="A11" s="4" t="s">
        <v>17</v>
      </c>
      <c r="B11" s="4"/>
      <c r="C11" s="4"/>
      <c r="D11" s="4"/>
      <c r="E11" s="4"/>
      <c r="F11" s="4"/>
      <c r="G11" s="19" t="s">
        <v>18</v>
      </c>
      <c r="H11" s="19"/>
      <c r="I11" s="19"/>
      <c r="J11" s="19"/>
      <c r="K11" s="19"/>
      <c r="L11" s="19"/>
      <c r="M11" s="20" t="s">
        <v>19</v>
      </c>
      <c r="N11" s="20"/>
      <c r="O11" s="20"/>
      <c r="P11" s="20"/>
      <c r="Q11" s="20"/>
      <c r="R11" s="20"/>
    </row>
    <row r="12" customFormat="false" ht="35.05" hidden="false" customHeight="false" outlineLevel="0" collapsed="false">
      <c r="A12" s="21" t="s">
        <v>20</v>
      </c>
      <c r="B12" s="21" t="s">
        <v>21</v>
      </c>
      <c r="C12" s="21"/>
      <c r="D12" s="21"/>
      <c r="E12" s="21"/>
      <c r="F12" s="21"/>
      <c r="G12" s="21" t="s">
        <v>22</v>
      </c>
      <c r="H12" s="21" t="s">
        <v>23</v>
      </c>
      <c r="I12" s="21"/>
      <c r="J12" s="21"/>
      <c r="K12" s="21"/>
      <c r="L12" s="21"/>
      <c r="M12" s="21" t="s">
        <v>22</v>
      </c>
      <c r="N12" s="21" t="s">
        <v>23</v>
      </c>
      <c r="O12" s="21"/>
      <c r="P12" s="21"/>
      <c r="Q12" s="21"/>
      <c r="R12" s="21"/>
    </row>
    <row r="13" customFormat="false" ht="15" hidden="false" customHeight="false" outlineLevel="0" collapsed="false">
      <c r="A13" s="22" t="s">
        <v>24</v>
      </c>
      <c r="B13" s="22"/>
      <c r="C13" s="22"/>
      <c r="D13" s="23" t="n">
        <f aca="false">48</f>
        <v>48</v>
      </c>
      <c r="E13" s="23"/>
      <c r="F13" s="23"/>
      <c r="G13" s="24" t="s">
        <v>25</v>
      </c>
      <c r="H13" s="24"/>
      <c r="I13" s="24"/>
      <c r="J13" s="25" t="n">
        <f aca="false">3*8*5</f>
        <v>120</v>
      </c>
      <c r="K13" s="25"/>
      <c r="L13" s="25"/>
      <c r="M13" s="26" t="s">
        <v>26</v>
      </c>
      <c r="N13" s="26"/>
      <c r="O13" s="26"/>
      <c r="P13" s="27" t="n">
        <f aca="false">COUNTA('Weekly Data'!A5:A14)</f>
        <v>10</v>
      </c>
      <c r="Q13" s="27"/>
      <c r="R13" s="27"/>
    </row>
    <row r="14" customFormat="false" ht="15" hidden="false" customHeight="false" outlineLevel="0" collapsed="false">
      <c r="A14" s="26" t="s">
        <v>27</v>
      </c>
      <c r="B14" s="26"/>
      <c r="C14" s="26"/>
      <c r="D14" s="28" t="n">
        <f aca="false">'Item Log'!F55</f>
        <v>36</v>
      </c>
      <c r="E14" s="28"/>
      <c r="F14" s="28"/>
      <c r="G14" s="26" t="s">
        <v>28</v>
      </c>
      <c r="H14" s="26"/>
      <c r="I14" s="26"/>
      <c r="J14" s="29" t="n">
        <f aca="false">ROUND(3*8*5*0.725,0)</f>
        <v>87</v>
      </c>
      <c r="K14" s="29"/>
      <c r="L14" s="29"/>
      <c r="M14" s="24" t="s">
        <v>29</v>
      </c>
      <c r="N14" s="24"/>
      <c r="O14" s="24"/>
      <c r="P14" s="30" t="n">
        <f aca="false">48-'Item Log'!F55</f>
        <v>12</v>
      </c>
      <c r="Q14" s="30"/>
      <c r="R14" s="30"/>
    </row>
    <row r="15" customFormat="false" ht="15" hidden="false" customHeight="false" outlineLevel="0" collapsed="false">
      <c r="A15" s="22" t="s">
        <v>30</v>
      </c>
      <c r="B15" s="22"/>
      <c r="C15" s="22"/>
      <c r="D15" s="23" t="n">
        <f aca="false">48-'Item Log'!F55</f>
        <v>12</v>
      </c>
      <c r="E15" s="23"/>
      <c r="F15" s="23"/>
      <c r="G15" s="24" t="s">
        <v>31</v>
      </c>
      <c r="H15" s="24"/>
      <c r="I15" s="24"/>
      <c r="J15" s="25" t="n">
        <f aca="false">ROUND(3*8*5*0.275,0)</f>
        <v>33</v>
      </c>
      <c r="K15" s="25"/>
      <c r="L15" s="25"/>
      <c r="M15" s="26" t="s">
        <v>32</v>
      </c>
      <c r="N15" s="26"/>
      <c r="O15" s="26"/>
      <c r="P15" s="27" t="n">
        <f aca="false">MAX(0,48-48/10*COUNTA('Weekly Data'!A5:A14))</f>
        <v>0</v>
      </c>
      <c r="Q15" s="27"/>
      <c r="R15" s="27"/>
    </row>
    <row r="16" customFormat="false" ht="15" hidden="false" customHeight="false" outlineLevel="0" collapsed="false">
      <c r="A16" s="26" t="s">
        <v>33</v>
      </c>
      <c r="B16" s="26"/>
      <c r="C16" s="26"/>
      <c r="D16" s="31" t="n">
        <f aca="false">'Item Log'!F67</f>
        <v>0.75</v>
      </c>
      <c r="E16" s="31"/>
      <c r="F16" s="31"/>
      <c r="G16" s="26" t="s">
        <v>34</v>
      </c>
      <c r="H16" s="26"/>
      <c r="I16" s="26"/>
      <c r="J16" s="29" t="n">
        <f aca="false">'Item Log'!F64</f>
        <v>888</v>
      </c>
      <c r="K16" s="29"/>
      <c r="L16" s="29"/>
      <c r="M16" s="24" t="s">
        <v>35</v>
      </c>
      <c r="N16" s="24"/>
      <c r="O16" s="24"/>
      <c r="P16" s="30" t="n">
        <f aca="false">MAX(0,48-48*POWER(COUNTA('Weekly Data'!A5:A14)/(10*1.2),1.3))</f>
        <v>10.129100760037</v>
      </c>
      <c r="Q16" s="30"/>
      <c r="R16" s="30"/>
    </row>
    <row r="17" customFormat="false" ht="15" hidden="false" customHeight="false" outlineLevel="0" collapsed="false">
      <c r="A17" s="22" t="s">
        <v>36</v>
      </c>
      <c r="B17" s="22"/>
      <c r="C17" s="22"/>
      <c r="D17" s="32" t="n">
        <f aca="false">'Item Log'!F68</f>
        <v>0.711711711711712</v>
      </c>
      <c r="E17" s="32"/>
      <c r="F17" s="32"/>
      <c r="G17" s="24" t="s">
        <v>37</v>
      </c>
      <c r="H17" s="24"/>
      <c r="I17" s="24"/>
      <c r="J17" s="25" t="n">
        <f aca="false">'Item Log'!F65</f>
        <v>632</v>
      </c>
      <c r="K17" s="25"/>
      <c r="L17" s="25"/>
      <c r="M17" s="26" t="s">
        <v>38</v>
      </c>
      <c r="N17" s="26"/>
      <c r="O17" s="26"/>
      <c r="P17" s="27" t="n">
        <f aca="false">(48-'Item Log'!F55)-MAX(0,48-48/10*COUNTA('Weekly Data'!A5:A14))</f>
        <v>12</v>
      </c>
      <c r="Q17" s="27"/>
      <c r="R17" s="27"/>
    </row>
    <row r="18" customFormat="false" ht="15" hidden="false" customHeight="false" outlineLevel="0" collapsed="false">
      <c r="A18" s="26" t="s">
        <v>26</v>
      </c>
      <c r="B18" s="26"/>
      <c r="C18" s="26"/>
      <c r="D18" s="28" t="n">
        <f aca="false">COUNTA('Weekly Data'!A5:A14)</f>
        <v>10</v>
      </c>
      <c r="E18" s="28"/>
      <c r="F18" s="28"/>
      <c r="G18" s="26" t="s">
        <v>39</v>
      </c>
      <c r="H18" s="26"/>
      <c r="I18" s="26"/>
      <c r="J18" s="29" t="n">
        <f aca="false">'Item Log'!F66</f>
        <v>256</v>
      </c>
      <c r="K18" s="29"/>
      <c r="L18" s="29"/>
      <c r="M18" s="24" t="s">
        <v>40</v>
      </c>
      <c r="N18" s="24"/>
      <c r="O18" s="24"/>
      <c r="P18" s="30" t="n">
        <f aca="false">(48-'Item Log'!F55)-MAX(0,48-48*POWER(COUNTA('Weekly Data'!A5:A14)/(10*1.2),1.3))</f>
        <v>1.87089923996295</v>
      </c>
      <c r="Q18" s="30"/>
      <c r="R18" s="30"/>
    </row>
    <row r="19" customFormat="false" ht="15" hidden="false" customHeight="false" outlineLevel="0" collapsed="false">
      <c r="A19" s="22" t="s">
        <v>41</v>
      </c>
      <c r="B19" s="22"/>
      <c r="C19" s="22"/>
      <c r="D19" s="23" t="n">
        <f aca="false">ROUND(48/(10)*COUNTA('Weekly Data'!A5:A14),0)</f>
        <v>48</v>
      </c>
      <c r="E19" s="23"/>
      <c r="F19" s="23"/>
      <c r="G19" s="24" t="s">
        <v>42</v>
      </c>
      <c r="H19" s="24"/>
      <c r="I19" s="24"/>
      <c r="J19" s="25" t="n">
        <f aca="false">IFERROR('Item Log'!F65/'Item Log'!F55,"")</f>
        <v>17.5555555555556</v>
      </c>
      <c r="K19" s="25"/>
      <c r="L19" s="25"/>
      <c r="M19" s="33" t="s">
        <v>43</v>
      </c>
      <c r="N19" s="33"/>
      <c r="O19" s="33"/>
      <c r="P19" s="34" t="str">
        <f aca="false">IF((48-'Item Log'!F55)&lt;=MAX(0,48-48/10*COUNTA('Weekly Data'!A5:A14)),"NHANH",IF((48-'Item Log'!F55)&lt;=MAX(0,48-48*POWER(COUNTA('Weekly Data'!A5:A14)/(10*1.2),1.3)),"OK","CHAM"))</f>
        <v>CHAM</v>
      </c>
      <c r="Q19" s="34"/>
      <c r="R19" s="34"/>
    </row>
    <row r="20" customFormat="false" ht="15" hidden="false" customHeight="false" outlineLevel="0" collapsed="false">
      <c r="A20" s="26" t="s">
        <v>44</v>
      </c>
      <c r="B20" s="26"/>
      <c r="C20" s="26"/>
      <c r="D20" s="28" t="n">
        <f aca="false">'Item Log'!F55-ROUND(48/10*COUNTA('Weekly Data'!A5:A14),0)</f>
        <v>-12</v>
      </c>
      <c r="E20" s="28"/>
      <c r="F20" s="28"/>
      <c r="G20" s="26" t="s">
        <v>45</v>
      </c>
      <c r="H20" s="26"/>
      <c r="I20" s="26"/>
      <c r="J20" s="29" t="n">
        <f aca="false">IFERROR('Item Log'!F66/(3*8*5*0.725),"")</f>
        <v>2.94252873563218</v>
      </c>
      <c r="K20" s="29"/>
      <c r="L20" s="29"/>
      <c r="M20" s="33" t="s">
        <v>46</v>
      </c>
      <c r="N20" s="33"/>
      <c r="O20" s="33"/>
      <c r="P20" s="34" t="n">
        <f aca="false">'Monte Carlo'!B14</f>
        <v>-3</v>
      </c>
      <c r="Q20" s="34"/>
      <c r="R20" s="34"/>
    </row>
    <row r="21" customFormat="false" ht="6" hidden="false" customHeight="true" outlineLevel="0" collapsed="false"/>
    <row r="22" customFormat="false" ht="15" hidden="false" customHeight="false" outlineLevel="0" collapsed="false">
      <c r="A22" s="35" t="s">
        <v>47</v>
      </c>
      <c r="B22" s="35"/>
      <c r="C22" s="35"/>
      <c r="D22" s="35"/>
      <c r="E22" s="35"/>
      <c r="F22" s="35"/>
      <c r="G22" s="35"/>
      <c r="H22" s="35"/>
      <c r="I22" s="35"/>
      <c r="J22" s="36" t="s">
        <v>48</v>
      </c>
      <c r="K22" s="36"/>
      <c r="L22" s="36"/>
      <c r="M22" s="36"/>
      <c r="N22" s="36"/>
      <c r="O22" s="36"/>
      <c r="P22" s="36"/>
      <c r="Q22" s="36"/>
      <c r="R22" s="36"/>
    </row>
    <row r="23" customFormat="false" ht="23.85" hidden="false" customHeight="false" outlineLevel="0" collapsed="false">
      <c r="A23" s="21" t="s">
        <v>49</v>
      </c>
      <c r="B23" s="21" t="s">
        <v>50</v>
      </c>
      <c r="C23" s="21" t="s">
        <v>51</v>
      </c>
      <c r="D23" s="21" t="s">
        <v>52</v>
      </c>
      <c r="E23" s="21" t="s">
        <v>53</v>
      </c>
      <c r="F23" s="21" t="s">
        <v>54</v>
      </c>
      <c r="G23" s="21" t="s">
        <v>55</v>
      </c>
      <c r="H23" s="21"/>
      <c r="I23" s="21"/>
      <c r="J23" s="21" t="s">
        <v>56</v>
      </c>
      <c r="K23" s="21" t="s">
        <v>27</v>
      </c>
      <c r="L23" s="21" t="s">
        <v>37</v>
      </c>
      <c r="M23" s="21" t="s">
        <v>57</v>
      </c>
      <c r="N23" s="21" t="s">
        <v>58</v>
      </c>
      <c r="O23" s="21" t="s">
        <v>59</v>
      </c>
      <c r="P23" s="21" t="s">
        <v>60</v>
      </c>
      <c r="Q23" s="21" t="s">
        <v>54</v>
      </c>
      <c r="R23" s="21" t="s">
        <v>61</v>
      </c>
    </row>
    <row r="24" customFormat="false" ht="15" hidden="false" customHeight="false" outlineLevel="0" collapsed="false">
      <c r="A24" s="26" t="s">
        <v>62</v>
      </c>
      <c r="B24" s="37" t="s">
        <v>63</v>
      </c>
      <c r="C24" s="38" t="n">
        <f aca="false">COUNTIF('Item Log'!U4:U51,A24)</f>
        <v>0</v>
      </c>
      <c r="D24" s="39" t="s">
        <v>64</v>
      </c>
      <c r="E24" s="40" t="s">
        <v>64</v>
      </c>
      <c r="F24" s="40" t="s">
        <v>64</v>
      </c>
      <c r="G24" s="41"/>
      <c r="H24" s="41"/>
      <c r="I24" s="41"/>
      <c r="J24" s="42" t="str">
        <f aca="false">'Weekly Data'!A5</f>
        <v>W01</v>
      </c>
      <c r="K24" s="28" t="n">
        <f aca="false">'Weekly Data'!F5</f>
        <v>6</v>
      </c>
      <c r="L24" s="43" t="n">
        <f aca="false">'Weekly Data'!G5</f>
        <v>108</v>
      </c>
      <c r="M24" s="44" t="n">
        <f aca="false">'Weekly Data'!H5</f>
        <v>7</v>
      </c>
      <c r="N24" s="45" t="n">
        <f aca="false">'Weekly Data'!K5</f>
        <v>43.2</v>
      </c>
      <c r="O24" s="28" t="n">
        <f aca="false">'Weekly Data'!J5</f>
        <v>41</v>
      </c>
      <c r="P24" s="46" t="n">
        <f aca="false">'Weekly Data'!L5</f>
        <v>46.1019588774946</v>
      </c>
      <c r="Q24" s="47" t="str">
        <f aca="false">'Weekly Data'!R5</f>
        <v>Nhanh</v>
      </c>
      <c r="R24" s="48" t="n">
        <f aca="false">IFERROR('Weekly Data'!M5,"")</f>
        <v>6</v>
      </c>
    </row>
    <row r="25" customFormat="false" ht="15" hidden="false" customHeight="false" outlineLevel="0" collapsed="false">
      <c r="A25" s="24" t="s">
        <v>65</v>
      </c>
      <c r="B25" s="37" t="s">
        <v>63</v>
      </c>
      <c r="C25" s="49" t="n">
        <f aca="false">COUNTIF('Item Log'!U4:U51,A25)</f>
        <v>0</v>
      </c>
      <c r="D25" s="50" t="s">
        <v>66</v>
      </c>
      <c r="E25" s="51" t="n">
        <f aca="false">IF(D25="--","",C25-D25)</f>
        <v>-2</v>
      </c>
      <c r="F25" s="52" t="str">
        <f aca="false">IF(D25="--","",IF(C25&gt;D25,"VUOT",IF(C25=D25,"SAT","OK")))</f>
        <v>OK</v>
      </c>
      <c r="G25" s="53" t="s">
        <v>67</v>
      </c>
      <c r="H25" s="53"/>
      <c r="I25" s="53"/>
      <c r="J25" s="54" t="str">
        <f aca="false">'Weekly Data'!A6</f>
        <v>W02</v>
      </c>
      <c r="K25" s="55" t="n">
        <f aca="false">'Weekly Data'!F6</f>
        <v>7</v>
      </c>
      <c r="L25" s="56" t="n">
        <f aca="false">'Weekly Data'!G6</f>
        <v>98</v>
      </c>
      <c r="M25" s="57" t="n">
        <f aca="false">'Weekly Data'!H6</f>
        <v>14</v>
      </c>
      <c r="N25" s="58" t="n">
        <f aca="false">'Weekly Data'!K6</f>
        <v>38.4</v>
      </c>
      <c r="O25" s="55" t="n">
        <f aca="false">'Weekly Data'!J6</f>
        <v>34</v>
      </c>
      <c r="P25" s="59" t="n">
        <f aca="false">'Weekly Data'!L6</f>
        <v>43.3264745514571</v>
      </c>
      <c r="Q25" s="52" t="str">
        <f aca="false">'Weekly Data'!R6</f>
        <v>Nhanh</v>
      </c>
      <c r="R25" s="60" t="n">
        <f aca="false">IFERROR('Weekly Data'!M6,"")</f>
        <v>6.5</v>
      </c>
    </row>
    <row r="26" customFormat="false" ht="15" hidden="false" customHeight="false" outlineLevel="0" collapsed="false">
      <c r="A26" s="26" t="s">
        <v>68</v>
      </c>
      <c r="B26" s="37" t="s">
        <v>63</v>
      </c>
      <c r="C26" s="38" t="n">
        <f aca="false">COUNTIF('Item Log'!U4:U51,A26)</f>
        <v>0</v>
      </c>
      <c r="D26" s="61" t="s">
        <v>69</v>
      </c>
      <c r="E26" s="62" t="n">
        <f aca="false">IF(D26="--","",C26-D26)</f>
        <v>-3</v>
      </c>
      <c r="F26" s="47" t="str">
        <f aca="false">IF(D26="--","",IF(C26&gt;D26,"VUOT",IF(C26=D26,"SAT","OK")))</f>
        <v>OK</v>
      </c>
      <c r="G26" s="41" t="s">
        <v>70</v>
      </c>
      <c r="H26" s="41"/>
      <c r="I26" s="41"/>
      <c r="J26" s="42" t="str">
        <f aca="false">'Weekly Data'!A7</f>
        <v>W03</v>
      </c>
      <c r="K26" s="28" t="n">
        <f aca="false">'Weekly Data'!F7</f>
        <v>7</v>
      </c>
      <c r="L26" s="43" t="n">
        <f aca="false">'Weekly Data'!G7</f>
        <v>119</v>
      </c>
      <c r="M26" s="44" t="n">
        <f aca="false">'Weekly Data'!H7</f>
        <v>21</v>
      </c>
      <c r="N26" s="45" t="n">
        <f aca="false">'Weekly Data'!K7</f>
        <v>33.6</v>
      </c>
      <c r="O26" s="28" t="n">
        <f aca="false">'Weekly Data'!J7</f>
        <v>27</v>
      </c>
      <c r="P26" s="46" t="n">
        <f aca="false">'Weekly Data'!L7</f>
        <v>40.0829525353626</v>
      </c>
      <c r="Q26" s="47" t="str">
        <f aca="false">'Weekly Data'!R7</f>
        <v>Nhanh</v>
      </c>
      <c r="R26" s="48" t="n">
        <f aca="false">IFERROR('Weekly Data'!M7,"")</f>
        <v>6.66666666666667</v>
      </c>
    </row>
    <row r="27" customFormat="false" ht="15" hidden="false" customHeight="false" outlineLevel="0" collapsed="false">
      <c r="A27" s="24" t="s">
        <v>71</v>
      </c>
      <c r="B27" s="37" t="s">
        <v>63</v>
      </c>
      <c r="C27" s="49" t="n">
        <f aca="false">COUNTIF('Item Log'!U4:U51,A27)</f>
        <v>1</v>
      </c>
      <c r="D27" s="50" t="s">
        <v>66</v>
      </c>
      <c r="E27" s="51" t="n">
        <f aca="false">IF(D27="--","",C27-D27)</f>
        <v>-1</v>
      </c>
      <c r="F27" s="52" t="str">
        <f aca="false">IF(D27="--","",IF(C27&gt;D27,"VUOT",IF(C27=D27,"SAT","OK")))</f>
        <v>OK</v>
      </c>
      <c r="G27" s="53" t="s">
        <v>67</v>
      </c>
      <c r="H27" s="53"/>
      <c r="I27" s="53"/>
      <c r="J27" s="54" t="str">
        <f aca="false">'Weekly Data'!A8</f>
        <v>W04</v>
      </c>
      <c r="K27" s="55" t="n">
        <f aca="false">'Weekly Data'!F8</f>
        <v>3</v>
      </c>
      <c r="L27" s="56" t="n">
        <f aca="false">'Weekly Data'!G8</f>
        <v>51</v>
      </c>
      <c r="M27" s="57" t="n">
        <f aca="false">'Weekly Data'!H8</f>
        <v>24</v>
      </c>
      <c r="N27" s="58" t="n">
        <f aca="false">'Weekly Data'!K8</f>
        <v>28.8</v>
      </c>
      <c r="O27" s="55" t="n">
        <f aca="false">'Weekly Data'!J8</f>
        <v>24</v>
      </c>
      <c r="P27" s="59" t="n">
        <f aca="false">'Weekly Data'!L8</f>
        <v>36.4924305068022</v>
      </c>
      <c r="Q27" s="52" t="str">
        <f aca="false">'Weekly Data'!R8</f>
        <v>Nhanh</v>
      </c>
      <c r="R27" s="60" t="n">
        <f aca="false">IFERROR('Weekly Data'!M8,"")</f>
        <v>5.75</v>
      </c>
    </row>
    <row r="28" customFormat="false" ht="15" hidden="false" customHeight="false" outlineLevel="0" collapsed="false">
      <c r="A28" s="26" t="s">
        <v>72</v>
      </c>
      <c r="B28" s="37" t="s">
        <v>63</v>
      </c>
      <c r="C28" s="38" t="n">
        <f aca="false">COUNTIF('Item Log'!U4:U51,A28)</f>
        <v>2</v>
      </c>
      <c r="D28" s="61" t="s">
        <v>66</v>
      </c>
      <c r="E28" s="62" t="n">
        <f aca="false">IF(D28="--","",C28-D28)</f>
        <v>0</v>
      </c>
      <c r="F28" s="47" t="str">
        <f aca="false">IF(D28="--","",IF(C28&gt;D28,"VUOT",IF(C28=D28,"SAT","OK")))</f>
        <v>OK</v>
      </c>
      <c r="G28" s="41" t="s">
        <v>73</v>
      </c>
      <c r="H28" s="41"/>
      <c r="I28" s="41"/>
      <c r="J28" s="42" t="str">
        <f aca="false">'Weekly Data'!A9</f>
        <v>W05</v>
      </c>
      <c r="K28" s="28" t="n">
        <f aca="false">'Weekly Data'!F9</f>
        <v>4</v>
      </c>
      <c r="L28" s="43" t="n">
        <f aca="false">'Weekly Data'!G9</f>
        <v>68</v>
      </c>
      <c r="M28" s="44" t="n">
        <f aca="false">'Weekly Data'!H9</f>
        <v>28</v>
      </c>
      <c r="N28" s="45" t="n">
        <f aca="false">'Weekly Data'!K9</f>
        <v>24</v>
      </c>
      <c r="O28" s="28" t="n">
        <f aca="false">'Weekly Data'!J9</f>
        <v>20</v>
      </c>
      <c r="P28" s="46" t="n">
        <f aca="false">'Weekly Data'!L9</f>
        <v>32.6196356700873</v>
      </c>
      <c r="Q28" s="47" t="str">
        <f aca="false">'Weekly Data'!R9</f>
        <v>Nhanh</v>
      </c>
      <c r="R28" s="48" t="n">
        <f aca="false">IFERROR('Weekly Data'!M9,"")</f>
        <v>5.25</v>
      </c>
    </row>
    <row r="29" customFormat="false" ht="15" hidden="false" customHeight="false" outlineLevel="0" collapsed="false">
      <c r="A29" s="24" t="s">
        <v>74</v>
      </c>
      <c r="B29" s="63" t="s">
        <v>75</v>
      </c>
      <c r="C29" s="49" t="n">
        <f aca="false">COUNTIF('Item Log'!U4:U51,A29)</f>
        <v>0</v>
      </c>
      <c r="D29" s="64" t="s">
        <v>64</v>
      </c>
      <c r="E29" s="65" t="s">
        <v>64</v>
      </c>
      <c r="F29" s="65" t="s">
        <v>64</v>
      </c>
      <c r="G29" s="53"/>
      <c r="H29" s="53"/>
      <c r="I29" s="53"/>
      <c r="J29" s="54" t="str">
        <f aca="false">'Weekly Data'!A10</f>
        <v>W06</v>
      </c>
      <c r="K29" s="55" t="n">
        <f aca="false">'Weekly Data'!F10</f>
        <v>8</v>
      </c>
      <c r="L29" s="56" t="n">
        <f aca="false">'Weekly Data'!G10</f>
        <v>152</v>
      </c>
      <c r="M29" s="57" t="n">
        <f aca="false">'Weekly Data'!H10</f>
        <v>36</v>
      </c>
      <c r="N29" s="58" t="n">
        <f aca="false">'Weekly Data'!K10</f>
        <v>19.2</v>
      </c>
      <c r="O29" s="55" t="n">
        <f aca="false">'Weekly Data'!J10</f>
        <v>12</v>
      </c>
      <c r="P29" s="59" t="n">
        <f aca="false">'Weekly Data'!L10</f>
        <v>28.5059424874503</v>
      </c>
      <c r="Q29" s="52" t="str">
        <f aca="false">'Weekly Data'!R10</f>
        <v>Nhanh</v>
      </c>
      <c r="R29" s="60" t="n">
        <f aca="false">IFERROR('Weekly Data'!M10,"")</f>
        <v>5.5</v>
      </c>
    </row>
    <row r="30" customFormat="false" ht="15" hidden="false" customHeight="false" outlineLevel="0" collapsed="false">
      <c r="A30" s="26" t="s">
        <v>76</v>
      </c>
      <c r="B30" s="63" t="s">
        <v>75</v>
      </c>
      <c r="C30" s="38" t="n">
        <f aca="false">COUNTIF('Item Log'!U4:U51,A30)</f>
        <v>6</v>
      </c>
      <c r="D30" s="61" t="s">
        <v>69</v>
      </c>
      <c r="E30" s="62" t="n">
        <f aca="false">IF(D30="--","",C30-D30)</f>
        <v>3</v>
      </c>
      <c r="F30" s="47" t="str">
        <f aca="false">IF(D30="--","",IF(C30&gt;D30,"VUOT",IF(C30=D30,"SAT","OK")))</f>
        <v>OK</v>
      </c>
      <c r="G30" s="41"/>
      <c r="H30" s="41"/>
      <c r="I30" s="41"/>
      <c r="J30" s="42" t="str">
        <f aca="false">'Weekly Data'!A11</f>
        <v>W07</v>
      </c>
      <c r="K30" s="28" t="n">
        <f aca="false">'Weekly Data'!F11</f>
        <v>8</v>
      </c>
      <c r="L30" s="43" t="n">
        <f aca="false">'Weekly Data'!G11</f>
        <v>96</v>
      </c>
      <c r="M30" s="44" t="n">
        <f aca="false">'Weekly Data'!H11</f>
        <v>44</v>
      </c>
      <c r="N30" s="45" t="n">
        <f aca="false">'Weekly Data'!K11</f>
        <v>14.4</v>
      </c>
      <c r="O30" s="28" t="n">
        <f aca="false">'Weekly Data'!J11</f>
        <v>4</v>
      </c>
      <c r="P30" s="46" t="n">
        <f aca="false">'Weekly Data'!L11</f>
        <v>24.1804764898414</v>
      </c>
      <c r="Q30" s="47" t="str">
        <f aca="false">'Weekly Data'!R11</f>
        <v>Nhanh</v>
      </c>
      <c r="R30" s="48" t="n">
        <f aca="false">IFERROR('Weekly Data'!M11,"")</f>
        <v>5.75</v>
      </c>
    </row>
    <row r="31" customFormat="false" ht="15" hidden="false" customHeight="false" outlineLevel="0" collapsed="false">
      <c r="A31" s="24" t="s">
        <v>77</v>
      </c>
      <c r="B31" s="63" t="s">
        <v>75</v>
      </c>
      <c r="C31" s="49" t="n">
        <f aca="false">COUNTIF('Item Log'!U4:U51,A31)</f>
        <v>0</v>
      </c>
      <c r="D31" s="50" t="s">
        <v>66</v>
      </c>
      <c r="E31" s="51" t="n">
        <f aca="false">IF(D31="--","",C31-D31)</f>
        <v>-2</v>
      </c>
      <c r="F31" s="52" t="str">
        <f aca="false">IF(D31="--","",IF(C31&gt;D31,"VUOT",IF(C31=D31,"SAT","OK")))</f>
        <v>OK</v>
      </c>
      <c r="G31" s="53" t="s">
        <v>78</v>
      </c>
      <c r="H31" s="53"/>
      <c r="I31" s="53"/>
      <c r="J31" s="54" t="str">
        <f aca="false">'Weekly Data'!A12</f>
        <v>W08</v>
      </c>
      <c r="K31" s="55" t="n">
        <f aca="false">'Weekly Data'!F12</f>
        <v>7</v>
      </c>
      <c r="L31" s="56" t="n">
        <f aca="false">'Weekly Data'!G12</f>
        <v>84</v>
      </c>
      <c r="M31" s="57" t="n">
        <f aca="false">'Weekly Data'!H12</f>
        <v>51</v>
      </c>
      <c r="N31" s="58" t="n">
        <f aca="false">'Weekly Data'!K12</f>
        <v>9.6</v>
      </c>
      <c r="O31" s="55" t="n">
        <f aca="false">'Weekly Data'!J12</f>
        <v>-3</v>
      </c>
      <c r="P31" s="59" t="n">
        <f aca="false">'Weekly Data'!L12</f>
        <v>19.6650402145422</v>
      </c>
      <c r="Q31" s="52" t="str">
        <f aca="false">'Weekly Data'!R12</f>
        <v>Nhanh</v>
      </c>
      <c r="R31" s="60" t="n">
        <f aca="false">IFERROR('Weekly Data'!M12,"")</f>
        <v>6.75</v>
      </c>
    </row>
    <row r="32" customFormat="false" ht="15" hidden="false" customHeight="false" outlineLevel="0" collapsed="false">
      <c r="A32" s="26" t="s">
        <v>79</v>
      </c>
      <c r="B32" s="63" t="s">
        <v>75</v>
      </c>
      <c r="C32" s="38" t="n">
        <f aca="false">COUNTIF('Item Log'!U4:U51,A32)</f>
        <v>2</v>
      </c>
      <c r="D32" s="61" t="s">
        <v>69</v>
      </c>
      <c r="E32" s="62" t="n">
        <f aca="false">IF(D32="--","",C32-D32)</f>
        <v>-1</v>
      </c>
      <c r="F32" s="47" t="str">
        <f aca="false">IF(D32="--","",IF(C32&gt;D32,"VUOT",IF(C32=D32,"SAT","OK")))</f>
        <v>OK</v>
      </c>
      <c r="G32" s="41"/>
      <c r="H32" s="41"/>
      <c r="I32" s="41"/>
      <c r="J32" s="42" t="str">
        <f aca="false">'Weekly Data'!A13</f>
        <v>W09</v>
      </c>
      <c r="K32" s="28" t="n">
        <f aca="false">'Weekly Data'!F13</f>
        <v>4</v>
      </c>
      <c r="L32" s="43" t="n">
        <f aca="false">'Weekly Data'!G13</f>
        <v>80</v>
      </c>
      <c r="M32" s="44" t="n">
        <f aca="false">'Weekly Data'!H13</f>
        <v>55</v>
      </c>
      <c r="N32" s="45" t="n">
        <f aca="false">'Weekly Data'!K13</f>
        <v>4.8</v>
      </c>
      <c r="O32" s="28" t="n">
        <f aca="false">'Weekly Data'!J13</f>
        <v>-7</v>
      </c>
      <c r="P32" s="46" t="n">
        <f aca="false">'Weekly Data'!L13</f>
        <v>14.9766688328735</v>
      </c>
      <c r="Q32" s="47" t="str">
        <f aca="false">'Weekly Data'!R13</f>
        <v>Nhanh</v>
      </c>
      <c r="R32" s="48" t="n">
        <f aca="false">IFERROR('Weekly Data'!M13,"")</f>
        <v>6.75</v>
      </c>
    </row>
    <row r="33" customFormat="false" ht="15" hidden="false" customHeight="false" outlineLevel="0" collapsed="false">
      <c r="A33" s="24" t="s">
        <v>80</v>
      </c>
      <c r="B33" s="66" t="s">
        <v>81</v>
      </c>
      <c r="C33" s="49" t="n">
        <f aca="false">COUNTIF('Item Log'!U4:U51,A33)</f>
        <v>0</v>
      </c>
      <c r="D33" s="50" t="s">
        <v>66</v>
      </c>
      <c r="E33" s="51" t="n">
        <f aca="false">IF(D33="--","",C33-D33)</f>
        <v>-2</v>
      </c>
      <c r="F33" s="52" t="str">
        <f aca="false">IF(D33="--","",IF(C33&gt;D33,"VUOT",IF(C33=D33,"SAT","OK")))</f>
        <v>OK</v>
      </c>
      <c r="G33" s="53" t="s">
        <v>82</v>
      </c>
      <c r="H33" s="53"/>
      <c r="I33" s="53"/>
      <c r="J33" s="54" t="str">
        <f aca="false">'Weekly Data'!A14</f>
        <v>W10</v>
      </c>
      <c r="K33" s="55" t="n">
        <f aca="false">'Weekly Data'!F14</f>
        <v>3</v>
      </c>
      <c r="L33" s="56" t="n">
        <f aca="false">'Weekly Data'!G14</f>
        <v>57</v>
      </c>
      <c r="M33" s="57" t="n">
        <f aca="false">'Weekly Data'!H14</f>
        <v>58</v>
      </c>
      <c r="N33" s="58" t="n">
        <f aca="false">'Weekly Data'!K14</f>
        <v>0</v>
      </c>
      <c r="O33" s="55" t="n">
        <f aca="false">'Weekly Data'!J14</f>
        <v>-10</v>
      </c>
      <c r="P33" s="59" t="n">
        <f aca="false">'Weekly Data'!L14</f>
        <v>10.129100760037</v>
      </c>
      <c r="Q33" s="52" t="str">
        <f aca="false">'Weekly Data'!R14</f>
        <v>Nhanh</v>
      </c>
      <c r="R33" s="60" t="n">
        <f aca="false">IFERROR('Weekly Data'!M14,"")</f>
        <v>5.5</v>
      </c>
    </row>
    <row r="34" customFormat="false" ht="15" hidden="false" customHeight="false" outlineLevel="0" collapsed="false">
      <c r="A34" s="67" t="s">
        <v>83</v>
      </c>
      <c r="B34" s="67"/>
      <c r="C34" s="68" t="n">
        <f aca="false">SUM(C24:C33)</f>
        <v>11</v>
      </c>
      <c r="D34" s="68" t="s">
        <v>84</v>
      </c>
      <c r="E34" s="69" t="n">
        <f aca="false">C34-9</f>
        <v>2</v>
      </c>
      <c r="F34" s="68" t="str">
        <f aca="false">IF(C34&gt;9,"VUOT LIMIT!",IF(C34&gt;=7,"GAN LIMIT","OK"))</f>
        <v>VUOT LIMIT!</v>
      </c>
      <c r="G34" s="70" t="s">
        <v>85</v>
      </c>
      <c r="H34" s="70"/>
      <c r="I34" s="70"/>
    </row>
    <row r="35" customFormat="false" ht="15" hidden="false" customHeight="false" outlineLevel="0" collapsed="false">
      <c r="A35" s="26" t="s">
        <v>86</v>
      </c>
      <c r="B35" s="26"/>
      <c r="C35" s="28" t="n">
        <f aca="false">SUM(C24:C28)</f>
        <v>3</v>
      </c>
    </row>
    <row r="36" customFormat="false" ht="15" hidden="false" customHeight="false" outlineLevel="0" collapsed="false">
      <c r="A36" s="26" t="s">
        <v>87</v>
      </c>
      <c r="B36" s="26"/>
      <c r="C36" s="71" t="n">
        <f aca="false">SUM(C29:C32)</f>
        <v>8</v>
      </c>
    </row>
    <row r="37" customFormat="false" ht="15" hidden="false" customHeight="false" outlineLevel="0" collapsed="false">
      <c r="A37" s="26" t="s">
        <v>88</v>
      </c>
      <c r="B37" s="26"/>
      <c r="C37" s="72" t="n">
        <f aca="false">SUM(C33:C33)</f>
        <v>0</v>
      </c>
    </row>
    <row r="38" customFormat="false" ht="6" hidden="false" customHeight="true" outlineLevel="0" collapsed="false"/>
    <row r="39" customFormat="false" ht="15" hidden="false" customHeight="false" outlineLevel="0" collapsed="false">
      <c r="A39" s="20" t="s">
        <v>89</v>
      </c>
      <c r="B39" s="20"/>
      <c r="C39" s="20"/>
      <c r="D39" s="20"/>
      <c r="E39" s="20"/>
      <c r="F39" s="20"/>
      <c r="G39" s="20"/>
      <c r="H39" s="20"/>
      <c r="I39" s="20"/>
      <c r="J39" s="73" t="s">
        <v>90</v>
      </c>
      <c r="K39" s="73"/>
      <c r="L39" s="73"/>
      <c r="M39" s="73"/>
      <c r="N39" s="73"/>
      <c r="O39" s="73"/>
      <c r="P39" s="73"/>
      <c r="Q39" s="73"/>
      <c r="R39" s="73"/>
    </row>
    <row r="40" customFormat="false" ht="23.85" hidden="false" customHeight="false" outlineLevel="0" collapsed="false">
      <c r="A40" s="21" t="s">
        <v>91</v>
      </c>
      <c r="B40" s="21" t="s">
        <v>92</v>
      </c>
      <c r="C40" s="21" t="s">
        <v>52</v>
      </c>
      <c r="D40" s="21" t="s">
        <v>54</v>
      </c>
      <c r="E40" s="21" t="s">
        <v>93</v>
      </c>
      <c r="F40" s="21" t="s">
        <v>94</v>
      </c>
      <c r="G40" s="21"/>
      <c r="H40" s="21"/>
      <c r="I40" s="21"/>
      <c r="J40" s="21" t="s">
        <v>22</v>
      </c>
      <c r="K40" s="21" t="s">
        <v>23</v>
      </c>
      <c r="L40" s="21"/>
      <c r="M40" s="21" t="s">
        <v>95</v>
      </c>
      <c r="N40" s="21"/>
      <c r="O40" s="21" t="s">
        <v>96</v>
      </c>
      <c r="P40" s="21"/>
      <c r="Q40" s="21"/>
      <c r="R40" s="21"/>
    </row>
    <row r="41" customFormat="false" ht="15" hidden="false" customHeight="false" outlineLevel="0" collapsed="false">
      <c r="A41" s="26" t="s">
        <v>65</v>
      </c>
      <c r="B41" s="38" t="n">
        <f aca="false">COUNTIF('Item Log'!U4:U51,A41)</f>
        <v>0</v>
      </c>
      <c r="C41" s="61" t="n">
        <v>2</v>
      </c>
      <c r="D41" s="47" t="str">
        <f aca="false">IF(B41&gt;C41,"VUOT — BOTTLENECK!","OK")</f>
        <v>OK</v>
      </c>
      <c r="E41" s="74" t="str">
        <f aca="false">IFERROR('Review Tracker'!D62,"")</f>
        <v>Dev_A</v>
      </c>
      <c r="F41" s="61" t="str">
        <f aca="false">IFERROR('Review Tracker'!D64,"")</f>
        <v>Dev_A</v>
      </c>
      <c r="G41" s="61"/>
      <c r="H41" s="61"/>
      <c r="I41" s="61"/>
      <c r="J41" s="22" t="s">
        <v>30</v>
      </c>
      <c r="K41" s="22"/>
      <c r="L41" s="75" t="n">
        <f aca="false">'Monte Carlo'!D4</f>
        <v>-10</v>
      </c>
      <c r="M41" s="75"/>
      <c r="N41" s="76" t="s">
        <v>97</v>
      </c>
      <c r="O41" s="76"/>
      <c r="P41" s="76" t="s">
        <v>98</v>
      </c>
      <c r="Q41" s="76"/>
      <c r="R41" s="76"/>
    </row>
    <row r="42" customFormat="false" ht="15" hidden="false" customHeight="false" outlineLevel="0" collapsed="false">
      <c r="A42" s="24" t="s">
        <v>71</v>
      </c>
      <c r="B42" s="49" t="n">
        <f aca="false">COUNTIF('Item Log'!U4:U51,A42)</f>
        <v>1</v>
      </c>
      <c r="C42" s="50" t="n">
        <v>2</v>
      </c>
      <c r="D42" s="52" t="str">
        <f aca="false">IF(B42&gt;C42,"VUOT — BOTTLENECK!","OK")</f>
        <v>OK</v>
      </c>
      <c r="E42" s="77" t="str">
        <f aca="false">IFERROR('Review Tracker'!D63,"")</f>
        <v>Dev_B</v>
      </c>
      <c r="F42" s="50" t="str">
        <f aca="false">IFERROR('Review Tracker'!D64,"")</f>
        <v>Dev_A</v>
      </c>
      <c r="G42" s="50"/>
      <c r="H42" s="50"/>
      <c r="I42" s="50"/>
      <c r="J42" s="26" t="s">
        <v>99</v>
      </c>
      <c r="K42" s="26"/>
      <c r="L42" s="78" t="n">
        <f aca="false">'Monte Carlo'!D5</f>
        <v>5.7</v>
      </c>
      <c r="M42" s="78"/>
      <c r="N42" s="41" t="s">
        <v>100</v>
      </c>
      <c r="O42" s="41"/>
      <c r="P42" s="41" t="s">
        <v>101</v>
      </c>
      <c r="Q42" s="41"/>
      <c r="R42" s="41"/>
    </row>
    <row r="43" customFormat="false" ht="15" hidden="false" customHeight="false" outlineLevel="0" collapsed="false">
      <c r="A43" s="26" t="s">
        <v>77</v>
      </c>
      <c r="B43" s="38" t="n">
        <f aca="false">COUNTIF('Item Log'!U4:U51,A43)</f>
        <v>0</v>
      </c>
      <c r="C43" s="61" t="n">
        <v>2</v>
      </c>
      <c r="D43" s="47" t="str">
        <f aca="false">IF(B43&gt;C43,"VUOT — BOTTLENECK!","OK")</f>
        <v>OK</v>
      </c>
      <c r="E43" s="74" t="str">
        <f aca="false">IFERROR('Review Tracker'!D64,"")</f>
        <v>Dev_A</v>
      </c>
      <c r="F43" s="61" t="str">
        <f aca="false">IFERROR('Review Tracker'!D64,"")</f>
        <v>Dev_A</v>
      </c>
      <c r="G43" s="61"/>
      <c r="H43" s="61"/>
      <c r="I43" s="61"/>
      <c r="J43" s="22" t="s">
        <v>102</v>
      </c>
      <c r="K43" s="22"/>
      <c r="L43" s="75" t="n">
        <f aca="false">'Monte Carlo'!B12</f>
        <v>-2</v>
      </c>
      <c r="M43" s="75"/>
      <c r="N43" s="76" t="s">
        <v>103</v>
      </c>
      <c r="O43" s="76"/>
      <c r="P43" s="76" t="s">
        <v>104</v>
      </c>
      <c r="Q43" s="76"/>
      <c r="R43" s="76"/>
    </row>
    <row r="44" customFormat="false" ht="15" hidden="false" customHeight="false" outlineLevel="0" collapsed="false">
      <c r="J44" s="26" t="s">
        <v>105</v>
      </c>
      <c r="K44" s="26"/>
      <c r="L44" s="78" t="n">
        <f aca="false">'Monte Carlo'!B13</f>
        <v>-2</v>
      </c>
      <c r="M44" s="78"/>
      <c r="N44" s="41" t="s">
        <v>103</v>
      </c>
      <c r="O44" s="41"/>
      <c r="P44" s="41" t="s">
        <v>106</v>
      </c>
      <c r="Q44" s="41"/>
      <c r="R44" s="41"/>
    </row>
    <row r="45" customFormat="false" ht="15" hidden="false" customHeight="false" outlineLevel="0" collapsed="false">
      <c r="J45" s="22" t="s">
        <v>107</v>
      </c>
      <c r="K45" s="22"/>
      <c r="L45" s="75" t="n">
        <f aca="false">'Monte Carlo'!B14</f>
        <v>-3</v>
      </c>
      <c r="M45" s="75"/>
      <c r="N45" s="76" t="s">
        <v>103</v>
      </c>
      <c r="O45" s="76"/>
      <c r="P45" s="76" t="s">
        <v>108</v>
      </c>
      <c r="Q45" s="76"/>
      <c r="R45" s="76"/>
    </row>
    <row r="46" customFormat="false" ht="15" hidden="false" customHeight="false" outlineLevel="0" collapsed="false">
      <c r="J46" s="26" t="s">
        <v>109</v>
      </c>
      <c r="K46" s="26"/>
      <c r="L46" s="78" t="n">
        <f aca="false">'Monte Carlo'!B15</f>
        <v>-4</v>
      </c>
      <c r="M46" s="78"/>
      <c r="N46" s="41" t="s">
        <v>103</v>
      </c>
      <c r="O46" s="41"/>
      <c r="P46" s="41" t="s">
        <v>110</v>
      </c>
      <c r="Q46" s="41"/>
      <c r="R46" s="41"/>
    </row>
    <row r="47" customFormat="false" ht="15" hidden="false" customHeight="false" outlineLevel="0" collapsed="false">
      <c r="J47" s="22" t="s">
        <v>111</v>
      </c>
      <c r="K47" s="22"/>
      <c r="L47" s="75" t="n">
        <f aca="false">'Monte Carlo'!B21</f>
        <v>1.40350877192982</v>
      </c>
      <c r="M47" s="75"/>
      <c r="N47" s="76" t="s">
        <v>112</v>
      </c>
      <c r="O47" s="76"/>
      <c r="P47" s="76" t="s">
        <v>113</v>
      </c>
      <c r="Q47" s="76"/>
      <c r="R47" s="76"/>
    </row>
    <row r="48" customFormat="false" ht="15" hidden="false" customHeight="false" outlineLevel="0" collapsed="false">
      <c r="J48" s="26" t="s">
        <v>114</v>
      </c>
      <c r="K48" s="26"/>
      <c r="L48" s="78" t="n">
        <f aca="false">'Monte Carlo'!B22</f>
        <v>8.83333333333333</v>
      </c>
      <c r="M48" s="78"/>
      <c r="N48" s="41" t="s">
        <v>112</v>
      </c>
      <c r="O48" s="41"/>
      <c r="P48" s="41" t="s">
        <v>115</v>
      </c>
      <c r="Q48" s="41"/>
      <c r="R48" s="41"/>
    </row>
    <row r="49" customFormat="false" ht="15" hidden="false" customHeight="false" outlineLevel="0" collapsed="false">
      <c r="J49" s="22" t="s">
        <v>116</v>
      </c>
      <c r="K49" s="22"/>
      <c r="L49" s="75" t="n">
        <f aca="false">'Monte Carlo'!B23</f>
        <v>7.42982456140351</v>
      </c>
      <c r="M49" s="75"/>
      <c r="N49" s="76" t="s">
        <v>112</v>
      </c>
      <c r="O49" s="76"/>
      <c r="P49" s="76" t="s">
        <v>117</v>
      </c>
      <c r="Q49" s="76"/>
      <c r="R49" s="76"/>
    </row>
    <row r="50" customFormat="false" ht="6" hidden="false" customHeight="true" outlineLevel="0" collapsed="false"/>
    <row r="51" customFormat="false" ht="15" hidden="false" customHeight="false" outlineLevel="0" collapsed="false">
      <c r="A51" s="4" t="s">
        <v>118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customFormat="false" ht="15" hidden="false" customHeight="false" outlineLevel="0" collapsed="false">
      <c r="A52" s="36" t="s">
        <v>119</v>
      </c>
      <c r="B52" s="36"/>
      <c r="C52" s="36"/>
      <c r="D52" s="79" t="s">
        <v>62</v>
      </c>
      <c r="E52" s="79"/>
      <c r="F52" s="79"/>
      <c r="G52" s="9" t="s">
        <v>120</v>
      </c>
      <c r="H52" s="9"/>
      <c r="I52" s="9"/>
      <c r="J52" s="79" t="s">
        <v>121</v>
      </c>
      <c r="K52" s="79"/>
      <c r="L52" s="79"/>
      <c r="M52" s="9" t="s">
        <v>122</v>
      </c>
      <c r="N52" s="9"/>
      <c r="O52" s="9"/>
      <c r="P52" s="79" t="s">
        <v>123</v>
      </c>
      <c r="Q52" s="79"/>
      <c r="R52" s="79"/>
    </row>
    <row r="53" customFormat="false" ht="15" hidden="false" customHeight="false" outlineLevel="0" collapsed="false">
      <c r="A53" s="80" t="s">
        <v>124</v>
      </c>
      <c r="B53" s="80"/>
      <c r="C53" s="80"/>
      <c r="D53" s="81" t="s">
        <v>74</v>
      </c>
      <c r="E53" s="81"/>
      <c r="F53" s="81"/>
      <c r="G53" s="81" t="s">
        <v>125</v>
      </c>
      <c r="H53" s="81"/>
      <c r="I53" s="81"/>
      <c r="J53" s="82" t="s">
        <v>126</v>
      </c>
      <c r="K53" s="82"/>
      <c r="L53" s="82"/>
      <c r="M53" s="81" t="s">
        <v>127</v>
      </c>
      <c r="N53" s="81"/>
      <c r="O53" s="81"/>
      <c r="P53" s="81"/>
      <c r="Q53" s="81"/>
      <c r="R53" s="81"/>
    </row>
    <row r="54" customFormat="false" ht="15" hidden="false" customHeight="false" outlineLevel="0" collapsed="false">
      <c r="A54" s="83" t="s">
        <v>128</v>
      </c>
      <c r="B54" s="83"/>
      <c r="C54" s="83"/>
      <c r="D54" s="84" t="s">
        <v>80</v>
      </c>
      <c r="E54" s="84"/>
      <c r="F54" s="84"/>
      <c r="G54" s="85" t="s">
        <v>129</v>
      </c>
      <c r="H54" s="85"/>
      <c r="I54" s="85"/>
    </row>
    <row r="55" customFormat="false" ht="15" hidden="false" customHeight="true" outlineLevel="0" collapsed="false">
      <c r="A55" s="86" t="s">
        <v>130</v>
      </c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</row>
  </sheetData>
  <mergeCells count="154">
    <mergeCell ref="A1:R1"/>
    <mergeCell ref="A2:R2"/>
    <mergeCell ref="A3:R3"/>
    <mergeCell ref="A5:R5"/>
    <mergeCell ref="A6:C6"/>
    <mergeCell ref="D6:F6"/>
    <mergeCell ref="G6:I6"/>
    <mergeCell ref="J6:L6"/>
    <mergeCell ref="M6:O6"/>
    <mergeCell ref="P6:R6"/>
    <mergeCell ref="A7:C7"/>
    <mergeCell ref="D7:F7"/>
    <mergeCell ref="G7:I7"/>
    <mergeCell ref="J7:L7"/>
    <mergeCell ref="M7:O7"/>
    <mergeCell ref="P7:R7"/>
    <mergeCell ref="A8:C8"/>
    <mergeCell ref="D8:F8"/>
    <mergeCell ref="G8:I8"/>
    <mergeCell ref="J8:L8"/>
    <mergeCell ref="M8:O8"/>
    <mergeCell ref="P8:R8"/>
    <mergeCell ref="A9:C9"/>
    <mergeCell ref="D9:F9"/>
    <mergeCell ref="G9:I9"/>
    <mergeCell ref="J9:L9"/>
    <mergeCell ref="M9:O9"/>
    <mergeCell ref="P9:R9"/>
    <mergeCell ref="A11:F11"/>
    <mergeCell ref="G11:L11"/>
    <mergeCell ref="M11:R11"/>
    <mergeCell ref="A13:C13"/>
    <mergeCell ref="D13:F13"/>
    <mergeCell ref="G13:I13"/>
    <mergeCell ref="J13:L13"/>
    <mergeCell ref="M13:O13"/>
    <mergeCell ref="P13:R13"/>
    <mergeCell ref="A14:C14"/>
    <mergeCell ref="D14:F14"/>
    <mergeCell ref="G14:I14"/>
    <mergeCell ref="J14:L14"/>
    <mergeCell ref="M14:O14"/>
    <mergeCell ref="P14:R14"/>
    <mergeCell ref="A15:C15"/>
    <mergeCell ref="D15:F15"/>
    <mergeCell ref="G15:I15"/>
    <mergeCell ref="J15:L15"/>
    <mergeCell ref="M15:O15"/>
    <mergeCell ref="P15:R15"/>
    <mergeCell ref="A16:C16"/>
    <mergeCell ref="D16:F16"/>
    <mergeCell ref="G16:I16"/>
    <mergeCell ref="J16:L16"/>
    <mergeCell ref="M16:O16"/>
    <mergeCell ref="P16:R16"/>
    <mergeCell ref="A17:C17"/>
    <mergeCell ref="D17:F17"/>
    <mergeCell ref="G17:I17"/>
    <mergeCell ref="J17:L17"/>
    <mergeCell ref="M17:O17"/>
    <mergeCell ref="P17:R17"/>
    <mergeCell ref="A18:C18"/>
    <mergeCell ref="D18:F18"/>
    <mergeCell ref="G18:I18"/>
    <mergeCell ref="J18:L18"/>
    <mergeCell ref="M18:O18"/>
    <mergeCell ref="P18:R18"/>
    <mergeCell ref="A19:C19"/>
    <mergeCell ref="D19:F19"/>
    <mergeCell ref="G19:I19"/>
    <mergeCell ref="J19:L19"/>
    <mergeCell ref="M19:O19"/>
    <mergeCell ref="P19:R19"/>
    <mergeCell ref="A20:C20"/>
    <mergeCell ref="D20:F20"/>
    <mergeCell ref="G20:I20"/>
    <mergeCell ref="J20:L20"/>
    <mergeCell ref="M20:O20"/>
    <mergeCell ref="P20:R20"/>
    <mergeCell ref="A22:I22"/>
    <mergeCell ref="J22:R22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A34:B34"/>
    <mergeCell ref="G34:I34"/>
    <mergeCell ref="A35:B35"/>
    <mergeCell ref="A36:B36"/>
    <mergeCell ref="A37:B37"/>
    <mergeCell ref="A39:I39"/>
    <mergeCell ref="J39:R39"/>
    <mergeCell ref="F41:I41"/>
    <mergeCell ref="J41:K41"/>
    <mergeCell ref="L41:M41"/>
    <mergeCell ref="N41:O41"/>
    <mergeCell ref="P41:R41"/>
    <mergeCell ref="F42:I42"/>
    <mergeCell ref="J42:K42"/>
    <mergeCell ref="L42:M42"/>
    <mergeCell ref="N42:O42"/>
    <mergeCell ref="P42:R42"/>
    <mergeCell ref="F43:I43"/>
    <mergeCell ref="J43:K43"/>
    <mergeCell ref="L43:M43"/>
    <mergeCell ref="N43:O43"/>
    <mergeCell ref="P43:R43"/>
    <mergeCell ref="J44:K44"/>
    <mergeCell ref="L44:M44"/>
    <mergeCell ref="N44:O44"/>
    <mergeCell ref="P44:R44"/>
    <mergeCell ref="J45:K45"/>
    <mergeCell ref="L45:M45"/>
    <mergeCell ref="N45:O45"/>
    <mergeCell ref="P45:R45"/>
    <mergeCell ref="J46:K46"/>
    <mergeCell ref="L46:M46"/>
    <mergeCell ref="N46:O46"/>
    <mergeCell ref="P46:R46"/>
    <mergeCell ref="J47:K47"/>
    <mergeCell ref="L47:M47"/>
    <mergeCell ref="N47:O47"/>
    <mergeCell ref="P47:R47"/>
    <mergeCell ref="J48:K48"/>
    <mergeCell ref="L48:M48"/>
    <mergeCell ref="N48:O48"/>
    <mergeCell ref="P48:R48"/>
    <mergeCell ref="J49:K49"/>
    <mergeCell ref="L49:M49"/>
    <mergeCell ref="N49:O49"/>
    <mergeCell ref="P49:R49"/>
    <mergeCell ref="A51:R51"/>
    <mergeCell ref="A52:C52"/>
    <mergeCell ref="D52:F52"/>
    <mergeCell ref="G52:I52"/>
    <mergeCell ref="J52:L52"/>
    <mergeCell ref="M52:O52"/>
    <mergeCell ref="P52:R52"/>
    <mergeCell ref="A53:C53"/>
    <mergeCell ref="D53:F53"/>
    <mergeCell ref="G53:I53"/>
    <mergeCell ref="J53:L53"/>
    <mergeCell ref="M53:O53"/>
    <mergeCell ref="P53:R53"/>
    <mergeCell ref="A54:C54"/>
    <mergeCell ref="D54:F54"/>
    <mergeCell ref="G54:I54"/>
    <mergeCell ref="A55:R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V8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87" width="10"/>
    <col collapsed="false" customWidth="true" hidden="false" outlineLevel="0" max="2" min="2" style="87" width="26"/>
    <col collapsed="false" customWidth="true" hidden="false" outlineLevel="0" max="3" min="3" style="87" width="10"/>
    <col collapsed="false" customWidth="true" hidden="false" outlineLevel="0" max="5" min="4" style="87" width="8"/>
    <col collapsed="false" customWidth="true" hidden="false" outlineLevel="0" max="6" min="6" style="87" width="10"/>
    <col collapsed="false" customWidth="true" hidden="false" outlineLevel="0" max="7" min="7" style="87" width="7"/>
    <col collapsed="false" customWidth="true" hidden="false" outlineLevel="0" max="9" min="8" style="87" width="13"/>
    <col collapsed="false" customWidth="true" hidden="false" outlineLevel="0" max="10" min="10" style="87" width="10"/>
    <col collapsed="false" customWidth="true" hidden="false" outlineLevel="0" max="11" min="11" style="87" width="12"/>
    <col collapsed="false" customWidth="true" hidden="false" outlineLevel="0" max="12" min="12" style="87" width="10"/>
    <col collapsed="false" customWidth="true" hidden="false" outlineLevel="0" max="13" min="13" style="87" width="13"/>
    <col collapsed="false" customWidth="true" hidden="false" outlineLevel="0" max="15" min="14" style="87" width="11"/>
    <col collapsed="false" customWidth="true" hidden="false" outlineLevel="0" max="17" min="16" style="87" width="12"/>
    <col collapsed="false" customWidth="true" hidden="false" outlineLevel="0" max="18" min="18" style="87" width="8"/>
    <col collapsed="false" customWidth="true" hidden="false" outlineLevel="0" max="20" min="19" style="87" width="11"/>
    <col collapsed="false" customWidth="true" hidden="false" outlineLevel="0" max="21" min="21" style="87" width="14"/>
    <col collapsed="false" customWidth="true" hidden="false" outlineLevel="0" max="22" min="22" style="87" width="12"/>
  </cols>
  <sheetData>
    <row r="1" customFormat="false" ht="30" hidden="false" customHeight="true" outlineLevel="0" collapsed="false">
      <c r="A1" s="88" t="s">
        <v>131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</row>
    <row r="2" customFormat="false" ht="15" hidden="false" customHeight="true" outlineLevel="0" collapsed="false">
      <c r="A2" s="89" t="s">
        <v>132</v>
      </c>
      <c r="B2" s="89"/>
      <c r="C2" s="89"/>
      <c r="D2" s="89"/>
      <c r="E2" s="89"/>
      <c r="F2" s="89"/>
      <c r="G2" s="89"/>
      <c r="H2" s="90" t="s">
        <v>133</v>
      </c>
      <c r="I2" s="90"/>
      <c r="J2" s="90"/>
      <c r="K2" s="90"/>
      <c r="L2" s="90"/>
      <c r="M2" s="91" t="s">
        <v>134</v>
      </c>
      <c r="N2" s="91"/>
      <c r="O2" s="91"/>
      <c r="P2" s="91"/>
      <c r="Q2" s="92" t="s">
        <v>128</v>
      </c>
      <c r="R2" s="92"/>
      <c r="S2" s="93" t="s">
        <v>135</v>
      </c>
      <c r="T2" s="93"/>
      <c r="U2" s="93"/>
      <c r="V2" s="93"/>
    </row>
    <row r="3" customFormat="false" ht="23.25" hidden="false" customHeight="true" outlineLevel="0" collapsed="false">
      <c r="A3" s="21" t="s">
        <v>136</v>
      </c>
      <c r="B3" s="21" t="s">
        <v>137</v>
      </c>
      <c r="C3" s="21" t="s">
        <v>138</v>
      </c>
      <c r="D3" s="21" t="s">
        <v>63</v>
      </c>
      <c r="E3" s="21" t="s">
        <v>75</v>
      </c>
      <c r="F3" s="21" t="s">
        <v>55</v>
      </c>
      <c r="G3" s="21" t="s">
        <v>139</v>
      </c>
      <c r="H3" s="94" t="s">
        <v>62</v>
      </c>
      <c r="I3" s="94" t="s">
        <v>65</v>
      </c>
      <c r="J3" s="94" t="s">
        <v>68</v>
      </c>
      <c r="K3" s="94" t="s">
        <v>71</v>
      </c>
      <c r="L3" s="94" t="s">
        <v>72</v>
      </c>
      <c r="M3" s="95" t="s">
        <v>74</v>
      </c>
      <c r="N3" s="95" t="s">
        <v>76</v>
      </c>
      <c r="O3" s="95" t="s">
        <v>77</v>
      </c>
      <c r="P3" s="95" t="s">
        <v>79</v>
      </c>
      <c r="Q3" s="96" t="s">
        <v>140</v>
      </c>
      <c r="R3" s="97" t="s">
        <v>141</v>
      </c>
      <c r="S3" s="98" t="s">
        <v>142</v>
      </c>
      <c r="T3" s="98" t="s">
        <v>143</v>
      </c>
      <c r="U3" s="98" t="s">
        <v>144</v>
      </c>
      <c r="V3" s="98" t="s">
        <v>145</v>
      </c>
    </row>
    <row r="4" customFormat="false" ht="15" hidden="false" customHeight="true" outlineLevel="0" collapsed="false">
      <c r="A4" s="26" t="s">
        <v>146</v>
      </c>
      <c r="B4" s="99" t="s">
        <v>147</v>
      </c>
      <c r="C4" s="100" t="s">
        <v>148</v>
      </c>
      <c r="D4" s="99" t="s">
        <v>149</v>
      </c>
      <c r="E4" s="99" t="s">
        <v>150</v>
      </c>
      <c r="F4" s="99" t="s">
        <v>151</v>
      </c>
      <c r="G4" s="28" t="n">
        <v>24</v>
      </c>
      <c r="H4" s="101" t="n">
        <v>46120</v>
      </c>
      <c r="I4" s="101" t="n">
        <v>46122</v>
      </c>
      <c r="J4" s="101" t="n">
        <v>46124</v>
      </c>
      <c r="K4" s="101" t="n">
        <v>46127</v>
      </c>
      <c r="L4" s="101" t="n">
        <v>46129</v>
      </c>
      <c r="M4" s="101" t="n">
        <v>46125</v>
      </c>
      <c r="N4" s="101" t="n">
        <v>46126</v>
      </c>
      <c r="O4" s="101" t="n">
        <v>46128</v>
      </c>
      <c r="P4" s="101" t="n">
        <v>46130</v>
      </c>
      <c r="Q4" s="101" t="n">
        <v>46131</v>
      </c>
      <c r="R4" s="101" t="n">
        <v>46133</v>
      </c>
      <c r="S4" s="102" t="n">
        <f aca="false">IF(AND(R4&lt;&gt;"",J4&lt;&gt;""),R4-J4,"")</f>
        <v>9</v>
      </c>
      <c r="T4" s="103" t="n">
        <f aca="false">IF(AND(R4&lt;&gt;"",H4&lt;&gt;""),R4-H4,"")</f>
        <v>13</v>
      </c>
      <c r="U4" s="47" t="str">
        <f aca="false">IF(R4&lt;&gt;"","Done",IF(Q4&lt;&gt;"","Accept Test",IF(P4&lt;&gt;"","Test Execute",IF(O4&lt;&gt;"","Review TC",IF(N4&lt;&gt;"","Test Cases",IF(M4&lt;&gt;"","Test Viewpoint",IF(L4&lt;&gt;"","Whitebox",IF(K4&lt;&gt;"","Review Code",IF(J4&lt;&gt;"","Coding",IF(I4&lt;&gt;"","Review Design",IF(H4&lt;&gt;"","Detail Design","To Do")))))))))))</f>
        <v>Done</v>
      </c>
      <c r="V4" s="104" t="str">
        <f aca="false">IF(R4&lt;&gt;"","Done",IF(Q4&lt;&gt;"","Final",IF(OR(P4&lt;&gt;"",O4&lt;&gt;"",N4&lt;&gt;"",M4&lt;&gt;""),"QA",IF(OR(L4&lt;&gt;"",K4&lt;&gt;"",J4&lt;&gt;"",I4&lt;&gt;"",H4&lt;&gt;""),"Dev","Backlog"))))</f>
        <v>Done</v>
      </c>
    </row>
    <row r="5" customFormat="false" ht="15" hidden="false" customHeight="true" outlineLevel="0" collapsed="false">
      <c r="A5" s="24" t="s">
        <v>152</v>
      </c>
      <c r="B5" s="105" t="s">
        <v>153</v>
      </c>
      <c r="C5" s="37" t="s">
        <v>154</v>
      </c>
      <c r="D5" s="105" t="s">
        <v>149</v>
      </c>
      <c r="E5" s="105" t="s">
        <v>150</v>
      </c>
      <c r="F5" s="105" t="s">
        <v>151</v>
      </c>
      <c r="G5" s="55" t="n">
        <v>24</v>
      </c>
      <c r="H5" s="106" t="n">
        <v>46121</v>
      </c>
      <c r="I5" s="106" t="n">
        <v>46123</v>
      </c>
      <c r="J5" s="106" t="n">
        <v>46125</v>
      </c>
      <c r="K5" s="106" t="n">
        <v>46129</v>
      </c>
      <c r="L5" s="106" t="n">
        <v>46131</v>
      </c>
      <c r="M5" s="106" t="n">
        <v>46125</v>
      </c>
      <c r="N5" s="106" t="n">
        <v>46126</v>
      </c>
      <c r="O5" s="106" t="n">
        <v>46127</v>
      </c>
      <c r="P5" s="106" t="n">
        <v>46132</v>
      </c>
      <c r="Q5" s="106" t="n">
        <v>46133</v>
      </c>
      <c r="R5" s="106" t="n">
        <v>46134</v>
      </c>
      <c r="S5" s="107" t="n">
        <f aca="false">IF(AND(R5&lt;&gt;"",J5&lt;&gt;""),R5-J5,"")</f>
        <v>9</v>
      </c>
      <c r="T5" s="108" t="n">
        <f aca="false">IF(AND(R5&lt;&gt;"",H5&lt;&gt;""),R5-H5,"")</f>
        <v>13</v>
      </c>
      <c r="U5" s="52" t="str">
        <f aca="false">IF(R5&lt;&gt;"","Done",IF(Q5&lt;&gt;"","Accept Test",IF(P5&lt;&gt;"","Test Execute",IF(O5&lt;&gt;"","Review TC",IF(N5&lt;&gt;"","Test Cases",IF(M5&lt;&gt;"","Test Viewpoint",IF(L5&lt;&gt;"","Whitebox",IF(K5&lt;&gt;"","Review Code",IF(J5&lt;&gt;"","Coding",IF(I5&lt;&gt;"","Review Design",IF(H5&lt;&gt;"","Detail Design","To Do")))))))))))</f>
        <v>Done</v>
      </c>
      <c r="V5" s="109" t="str">
        <f aca="false">IF(R5&lt;&gt;"","Done",IF(Q5&lt;&gt;"","Final",IF(OR(P5&lt;&gt;"",O5&lt;&gt;"",N5&lt;&gt;"",M5&lt;&gt;""),"QA",IF(OR(L5&lt;&gt;"",K5&lt;&gt;"",J5&lt;&gt;"",I5&lt;&gt;"",H5&lt;&gt;""),"Dev","Backlog"))))</f>
        <v>Done</v>
      </c>
    </row>
    <row r="6" customFormat="false" ht="15" hidden="false" customHeight="true" outlineLevel="0" collapsed="false">
      <c r="A6" s="26" t="s">
        <v>155</v>
      </c>
      <c r="B6" s="99" t="s">
        <v>156</v>
      </c>
      <c r="C6" s="110" t="s">
        <v>157</v>
      </c>
      <c r="D6" s="99" t="s">
        <v>158</v>
      </c>
      <c r="E6" s="99" t="s">
        <v>159</v>
      </c>
      <c r="F6" s="99" t="s">
        <v>151</v>
      </c>
      <c r="G6" s="28" t="n">
        <v>8</v>
      </c>
      <c r="H6" s="101" t="n">
        <v>46119</v>
      </c>
      <c r="I6" s="101" t="n">
        <v>46120</v>
      </c>
      <c r="J6" s="101" t="n">
        <v>46122</v>
      </c>
      <c r="K6" s="101" t="n">
        <v>46124</v>
      </c>
      <c r="L6" s="101" t="n">
        <v>46126</v>
      </c>
      <c r="M6" s="101" t="n">
        <v>46123</v>
      </c>
      <c r="N6" s="101" t="n">
        <v>46124</v>
      </c>
      <c r="O6" s="101" t="n">
        <v>46126</v>
      </c>
      <c r="P6" s="101" t="n">
        <v>46128</v>
      </c>
      <c r="Q6" s="101" t="n">
        <v>46131</v>
      </c>
      <c r="R6" s="101" t="n">
        <v>46133</v>
      </c>
      <c r="S6" s="102" t="n">
        <f aca="false">IF(AND(R6&lt;&gt;"",J6&lt;&gt;""),R6-J6,"")</f>
        <v>11</v>
      </c>
      <c r="T6" s="103" t="n">
        <f aca="false">IF(AND(R6&lt;&gt;"",H6&lt;&gt;""),R6-H6,"")</f>
        <v>14</v>
      </c>
      <c r="U6" s="47" t="str">
        <f aca="false">IF(R6&lt;&gt;"","Done",IF(Q6&lt;&gt;"","Accept Test",IF(P6&lt;&gt;"","Test Execute",IF(O6&lt;&gt;"","Review TC",IF(N6&lt;&gt;"","Test Cases",IF(M6&lt;&gt;"","Test Viewpoint",IF(L6&lt;&gt;"","Whitebox",IF(K6&lt;&gt;"","Review Code",IF(J6&lt;&gt;"","Coding",IF(I6&lt;&gt;"","Review Design",IF(H6&lt;&gt;"","Detail Design","To Do")))))))))))</f>
        <v>Done</v>
      </c>
      <c r="V6" s="104" t="str">
        <f aca="false">IF(R6&lt;&gt;"","Done",IF(Q6&lt;&gt;"","Final",IF(OR(P6&lt;&gt;"",O6&lt;&gt;"",N6&lt;&gt;"",M6&lt;&gt;""),"QA",IF(OR(L6&lt;&gt;"",K6&lt;&gt;"",J6&lt;&gt;"",I6&lt;&gt;"",H6&lt;&gt;""),"Dev","Backlog"))))</f>
        <v>Done</v>
      </c>
    </row>
    <row r="7" customFormat="false" ht="15" hidden="false" customHeight="true" outlineLevel="0" collapsed="false">
      <c r="A7" s="24" t="s">
        <v>160</v>
      </c>
      <c r="B7" s="105" t="s">
        <v>161</v>
      </c>
      <c r="C7" s="100" t="s">
        <v>148</v>
      </c>
      <c r="D7" s="105" t="s">
        <v>158</v>
      </c>
      <c r="E7" s="105" t="s">
        <v>150</v>
      </c>
      <c r="F7" s="105" t="s">
        <v>151</v>
      </c>
      <c r="G7" s="55" t="n">
        <v>32</v>
      </c>
      <c r="H7" s="106" t="n">
        <v>46119</v>
      </c>
      <c r="I7" s="106" t="n">
        <v>46121</v>
      </c>
      <c r="J7" s="106" t="n">
        <v>46122</v>
      </c>
      <c r="K7" s="106" t="n">
        <v>46125</v>
      </c>
      <c r="L7" s="106" t="n">
        <v>46126</v>
      </c>
      <c r="M7" s="106" t="n">
        <v>46123</v>
      </c>
      <c r="N7" s="106" t="n">
        <v>46124</v>
      </c>
      <c r="O7" s="106" t="n">
        <v>46126</v>
      </c>
      <c r="P7" s="106" t="n">
        <v>46128</v>
      </c>
      <c r="Q7" s="106" t="n">
        <v>46129</v>
      </c>
      <c r="R7" s="106" t="n">
        <v>46131</v>
      </c>
      <c r="S7" s="107" t="n">
        <f aca="false">IF(AND(R7&lt;&gt;"",J7&lt;&gt;""),R7-J7,"")</f>
        <v>9</v>
      </c>
      <c r="T7" s="108" t="n">
        <f aca="false">IF(AND(R7&lt;&gt;"",H7&lt;&gt;""),R7-H7,"")</f>
        <v>12</v>
      </c>
      <c r="U7" s="52" t="str">
        <f aca="false">IF(R7&lt;&gt;"","Done",IF(Q7&lt;&gt;"","Accept Test",IF(P7&lt;&gt;"","Test Execute",IF(O7&lt;&gt;"","Review TC",IF(N7&lt;&gt;"","Test Cases",IF(M7&lt;&gt;"","Test Viewpoint",IF(L7&lt;&gt;"","Whitebox",IF(K7&lt;&gt;"","Review Code",IF(J7&lt;&gt;"","Coding",IF(I7&lt;&gt;"","Review Design",IF(H7&lt;&gt;"","Detail Design","To Do")))))))))))</f>
        <v>Done</v>
      </c>
      <c r="V7" s="109" t="str">
        <f aca="false">IF(R7&lt;&gt;"","Done",IF(Q7&lt;&gt;"","Final",IF(OR(P7&lt;&gt;"",O7&lt;&gt;"",N7&lt;&gt;"",M7&lt;&gt;""),"QA",IF(OR(L7&lt;&gt;"",K7&lt;&gt;"",J7&lt;&gt;"",I7&lt;&gt;"",H7&lt;&gt;""),"Dev","Backlog"))))</f>
        <v>Done</v>
      </c>
    </row>
    <row r="8" customFormat="false" ht="15" hidden="false" customHeight="true" outlineLevel="0" collapsed="false">
      <c r="A8" s="26" t="s">
        <v>162</v>
      </c>
      <c r="B8" s="99" t="s">
        <v>163</v>
      </c>
      <c r="C8" s="100" t="s">
        <v>148</v>
      </c>
      <c r="D8" s="99" t="s">
        <v>158</v>
      </c>
      <c r="E8" s="99" t="s">
        <v>150</v>
      </c>
      <c r="F8" s="99" t="s">
        <v>151</v>
      </c>
      <c r="G8" s="28" t="n">
        <v>24</v>
      </c>
      <c r="H8" s="101" t="n">
        <v>46121</v>
      </c>
      <c r="I8" s="101" t="n">
        <v>46123</v>
      </c>
      <c r="J8" s="101" t="n">
        <v>46124</v>
      </c>
      <c r="K8" s="101" t="n">
        <v>46127</v>
      </c>
      <c r="L8" s="101" t="n">
        <v>46129</v>
      </c>
      <c r="M8" s="101" t="n">
        <v>46124</v>
      </c>
      <c r="N8" s="101" t="n">
        <v>46125</v>
      </c>
      <c r="O8" s="101" t="n">
        <v>46127</v>
      </c>
      <c r="P8" s="101" t="n">
        <v>46131</v>
      </c>
      <c r="Q8" s="101" t="n">
        <v>46134</v>
      </c>
      <c r="R8" s="101" t="n">
        <v>46136</v>
      </c>
      <c r="S8" s="102" t="n">
        <f aca="false">IF(AND(R8&lt;&gt;"",J8&lt;&gt;""),R8-J8,"")</f>
        <v>12</v>
      </c>
      <c r="T8" s="103" t="n">
        <f aca="false">IF(AND(R8&lt;&gt;"",H8&lt;&gt;""),R8-H8,"")</f>
        <v>15</v>
      </c>
      <c r="U8" s="47" t="str">
        <f aca="false">IF(R8&lt;&gt;"","Done",IF(Q8&lt;&gt;"","Accept Test",IF(P8&lt;&gt;"","Test Execute",IF(O8&lt;&gt;"","Review TC",IF(N8&lt;&gt;"","Test Cases",IF(M8&lt;&gt;"","Test Viewpoint",IF(L8&lt;&gt;"","Whitebox",IF(K8&lt;&gt;"","Review Code",IF(J8&lt;&gt;"","Coding",IF(I8&lt;&gt;"","Review Design",IF(H8&lt;&gt;"","Detail Design","To Do")))))))))))</f>
        <v>Done</v>
      </c>
      <c r="V8" s="104" t="str">
        <f aca="false">IF(R8&lt;&gt;"","Done",IF(Q8&lt;&gt;"","Final",IF(OR(P8&lt;&gt;"",O8&lt;&gt;"",N8&lt;&gt;"",M8&lt;&gt;""),"QA",IF(OR(L8&lt;&gt;"",K8&lt;&gt;"",J8&lt;&gt;"",I8&lt;&gt;"",H8&lt;&gt;""),"Dev","Backlog"))))</f>
        <v>Done</v>
      </c>
    </row>
    <row r="9" customFormat="false" ht="15" hidden="false" customHeight="true" outlineLevel="0" collapsed="false">
      <c r="A9" s="24" t="s">
        <v>164</v>
      </c>
      <c r="B9" s="105" t="s">
        <v>165</v>
      </c>
      <c r="C9" s="37" t="s">
        <v>154</v>
      </c>
      <c r="D9" s="105" t="s">
        <v>151</v>
      </c>
      <c r="E9" s="105" t="s">
        <v>150</v>
      </c>
      <c r="F9" s="105" t="s">
        <v>158</v>
      </c>
      <c r="G9" s="55" t="n">
        <v>16</v>
      </c>
      <c r="H9" s="106" t="n">
        <v>46124</v>
      </c>
      <c r="I9" s="106" t="n">
        <v>46125</v>
      </c>
      <c r="J9" s="106" t="n">
        <v>46127</v>
      </c>
      <c r="K9" s="106" t="n">
        <v>46129</v>
      </c>
      <c r="L9" s="106" t="n">
        <v>46131</v>
      </c>
      <c r="M9" s="106" t="n">
        <v>46127</v>
      </c>
      <c r="N9" s="106" t="n">
        <v>46128</v>
      </c>
      <c r="O9" s="106" t="n">
        <v>46130</v>
      </c>
      <c r="P9" s="106" t="n">
        <v>46132</v>
      </c>
      <c r="Q9" s="106" t="n">
        <v>46133</v>
      </c>
      <c r="R9" s="106" t="n">
        <v>46135</v>
      </c>
      <c r="S9" s="107" t="n">
        <f aca="false">IF(AND(R9&lt;&gt;"",J9&lt;&gt;""),R9-J9,"")</f>
        <v>8</v>
      </c>
      <c r="T9" s="108" t="n">
        <f aca="false">IF(AND(R9&lt;&gt;"",H9&lt;&gt;""),R9-H9,"")</f>
        <v>11</v>
      </c>
      <c r="U9" s="52" t="str">
        <f aca="false">IF(R9&lt;&gt;"","Done",IF(Q9&lt;&gt;"","Accept Test",IF(P9&lt;&gt;"","Test Execute",IF(O9&lt;&gt;"","Review TC",IF(N9&lt;&gt;"","Test Cases",IF(M9&lt;&gt;"","Test Viewpoint",IF(L9&lt;&gt;"","Whitebox",IF(K9&lt;&gt;"","Review Code",IF(J9&lt;&gt;"","Coding",IF(I9&lt;&gt;"","Review Design",IF(H9&lt;&gt;"","Detail Design","To Do")))))))))))</f>
        <v>Done</v>
      </c>
      <c r="V9" s="109" t="str">
        <f aca="false">IF(R9&lt;&gt;"","Done",IF(Q9&lt;&gt;"","Final",IF(OR(P9&lt;&gt;"",O9&lt;&gt;"",N9&lt;&gt;"",M9&lt;&gt;""),"QA",IF(OR(L9&lt;&gt;"",K9&lt;&gt;"",J9&lt;&gt;"",I9&lt;&gt;"",H9&lt;&gt;""),"Dev","Backlog"))))</f>
        <v>Done</v>
      </c>
    </row>
    <row r="10" customFormat="false" ht="15" hidden="false" customHeight="true" outlineLevel="0" collapsed="false">
      <c r="A10" s="26" t="s">
        <v>166</v>
      </c>
      <c r="B10" s="99" t="s">
        <v>167</v>
      </c>
      <c r="C10" s="37" t="s">
        <v>154</v>
      </c>
      <c r="D10" s="99" t="s">
        <v>151</v>
      </c>
      <c r="E10" s="99" t="s">
        <v>159</v>
      </c>
      <c r="F10" s="99" t="s">
        <v>158</v>
      </c>
      <c r="G10" s="28" t="n">
        <v>8</v>
      </c>
      <c r="H10" s="101" t="n">
        <v>46124</v>
      </c>
      <c r="I10" s="101" t="n">
        <v>46125</v>
      </c>
      <c r="J10" s="101" t="n">
        <v>46126</v>
      </c>
      <c r="K10" s="101" t="n">
        <v>46127</v>
      </c>
      <c r="L10" s="101" t="n">
        <v>46128</v>
      </c>
      <c r="M10" s="101" t="n">
        <v>46127</v>
      </c>
      <c r="N10" s="101" t="n">
        <v>46128</v>
      </c>
      <c r="O10" s="101" t="n">
        <v>46130</v>
      </c>
      <c r="P10" s="101" t="n">
        <v>46131</v>
      </c>
      <c r="Q10" s="101" t="n">
        <v>46132</v>
      </c>
      <c r="R10" s="101" t="n">
        <v>46133</v>
      </c>
      <c r="S10" s="102" t="n">
        <f aca="false">IF(AND(R10&lt;&gt;"",J10&lt;&gt;""),R10-J10,"")</f>
        <v>7</v>
      </c>
      <c r="T10" s="103" t="n">
        <f aca="false">IF(AND(R10&lt;&gt;"",H10&lt;&gt;""),R10-H10,"")</f>
        <v>9</v>
      </c>
      <c r="U10" s="47" t="str">
        <f aca="false">IF(R10&lt;&gt;"","Done",IF(Q10&lt;&gt;"","Accept Test",IF(P10&lt;&gt;"","Test Execute",IF(O10&lt;&gt;"","Review TC",IF(N10&lt;&gt;"","Test Cases",IF(M10&lt;&gt;"","Test Viewpoint",IF(L10&lt;&gt;"","Whitebox",IF(K10&lt;&gt;"","Review Code",IF(J10&lt;&gt;"","Coding",IF(I10&lt;&gt;"","Review Design",IF(H10&lt;&gt;"","Detail Design","To Do")))))))))))</f>
        <v>Done</v>
      </c>
      <c r="V10" s="104" t="str">
        <f aca="false">IF(R10&lt;&gt;"","Done",IF(Q10&lt;&gt;"","Final",IF(OR(P10&lt;&gt;"",O10&lt;&gt;"",N10&lt;&gt;"",M10&lt;&gt;""),"QA",IF(OR(L10&lt;&gt;"",K10&lt;&gt;"",J10&lt;&gt;"",I10&lt;&gt;"",H10&lt;&gt;""),"Dev","Backlog"))))</f>
        <v>Done</v>
      </c>
    </row>
    <row r="11" customFormat="false" ht="15" hidden="false" customHeight="true" outlineLevel="0" collapsed="false">
      <c r="A11" s="24" t="s">
        <v>168</v>
      </c>
      <c r="B11" s="105" t="s">
        <v>169</v>
      </c>
      <c r="C11" s="100" t="s">
        <v>148</v>
      </c>
      <c r="D11" s="105" t="s">
        <v>149</v>
      </c>
      <c r="E11" s="105" t="s">
        <v>150</v>
      </c>
      <c r="F11" s="105" t="s">
        <v>151</v>
      </c>
      <c r="G11" s="55" t="n">
        <v>16</v>
      </c>
      <c r="H11" s="106" t="n">
        <v>46125</v>
      </c>
      <c r="I11" s="106" t="n">
        <v>46126</v>
      </c>
      <c r="J11" s="106" t="n">
        <v>46127</v>
      </c>
      <c r="K11" s="106" t="n">
        <v>46129</v>
      </c>
      <c r="L11" s="106" t="n">
        <v>46130</v>
      </c>
      <c r="M11" s="106" t="n">
        <v>46127</v>
      </c>
      <c r="N11" s="106" t="n">
        <v>46128</v>
      </c>
      <c r="O11" s="106" t="n">
        <v>46130</v>
      </c>
      <c r="P11" s="106" t="n">
        <v>46132</v>
      </c>
      <c r="Q11" s="106" t="n">
        <v>46135</v>
      </c>
      <c r="R11" s="106" t="n">
        <v>46136</v>
      </c>
      <c r="S11" s="107" t="n">
        <f aca="false">IF(AND(R11&lt;&gt;"",J11&lt;&gt;""),R11-J11,"")</f>
        <v>9</v>
      </c>
      <c r="T11" s="108" t="n">
        <f aca="false">IF(AND(R11&lt;&gt;"",H11&lt;&gt;""),R11-H11,"")</f>
        <v>11</v>
      </c>
      <c r="U11" s="52" t="str">
        <f aca="false">IF(R11&lt;&gt;"","Done",IF(Q11&lt;&gt;"","Accept Test",IF(P11&lt;&gt;"","Test Execute",IF(O11&lt;&gt;"","Review TC",IF(N11&lt;&gt;"","Test Cases",IF(M11&lt;&gt;"","Test Viewpoint",IF(L11&lt;&gt;"","Whitebox",IF(K11&lt;&gt;"","Review Code",IF(J11&lt;&gt;"","Coding",IF(I11&lt;&gt;"","Review Design",IF(H11&lt;&gt;"","Detail Design","To Do")))))))))))</f>
        <v>Done</v>
      </c>
      <c r="V11" s="109" t="str">
        <f aca="false">IF(R11&lt;&gt;"","Done",IF(Q11&lt;&gt;"","Final",IF(OR(P11&lt;&gt;"",O11&lt;&gt;"",N11&lt;&gt;"",M11&lt;&gt;""),"QA",IF(OR(L11&lt;&gt;"",K11&lt;&gt;"",J11&lt;&gt;"",I11&lt;&gt;"",H11&lt;&gt;""),"Dev","Backlog"))))</f>
        <v>Done</v>
      </c>
    </row>
    <row r="12" customFormat="false" ht="15" hidden="false" customHeight="true" outlineLevel="0" collapsed="false">
      <c r="A12" s="26" t="s">
        <v>170</v>
      </c>
      <c r="B12" s="99" t="s">
        <v>171</v>
      </c>
      <c r="C12" s="37" t="s">
        <v>154</v>
      </c>
      <c r="D12" s="99" t="s">
        <v>149</v>
      </c>
      <c r="E12" s="99" t="s">
        <v>150</v>
      </c>
      <c r="F12" s="99" t="s">
        <v>151</v>
      </c>
      <c r="G12" s="28" t="n">
        <v>12</v>
      </c>
      <c r="H12" s="101" t="n">
        <v>46124</v>
      </c>
      <c r="I12" s="101" t="n">
        <v>46126</v>
      </c>
      <c r="J12" s="101" t="n">
        <v>46127</v>
      </c>
      <c r="K12" s="101" t="n">
        <v>46129</v>
      </c>
      <c r="L12" s="101" t="n">
        <v>46130</v>
      </c>
      <c r="M12" s="101" t="n">
        <v>46127</v>
      </c>
      <c r="N12" s="101" t="n">
        <v>46128</v>
      </c>
      <c r="O12" s="101" t="n">
        <v>46129</v>
      </c>
      <c r="P12" s="101" t="n">
        <v>46132</v>
      </c>
      <c r="Q12" s="101" t="n">
        <v>46134</v>
      </c>
      <c r="R12" s="101" t="n">
        <v>46135</v>
      </c>
      <c r="S12" s="102" t="n">
        <f aca="false">IF(AND(R12&lt;&gt;"",J12&lt;&gt;""),R12-J12,"")</f>
        <v>8</v>
      </c>
      <c r="T12" s="103" t="n">
        <f aca="false">IF(AND(R12&lt;&gt;"",H12&lt;&gt;""),R12-H12,"")</f>
        <v>11</v>
      </c>
      <c r="U12" s="47" t="str">
        <f aca="false">IF(R12&lt;&gt;"","Done",IF(Q12&lt;&gt;"","Accept Test",IF(P12&lt;&gt;"","Test Execute",IF(O12&lt;&gt;"","Review TC",IF(N12&lt;&gt;"","Test Cases",IF(M12&lt;&gt;"","Test Viewpoint",IF(L12&lt;&gt;"","Whitebox",IF(K12&lt;&gt;"","Review Code",IF(J12&lt;&gt;"","Coding",IF(I12&lt;&gt;"","Review Design",IF(H12&lt;&gt;"","Detail Design","To Do")))))))))))</f>
        <v>Done</v>
      </c>
      <c r="V12" s="104" t="str">
        <f aca="false">IF(R12&lt;&gt;"","Done",IF(Q12&lt;&gt;"","Final",IF(OR(P12&lt;&gt;"",O12&lt;&gt;"",N12&lt;&gt;"",M12&lt;&gt;""),"QA",IF(OR(L12&lt;&gt;"",K12&lt;&gt;"",J12&lt;&gt;"",I12&lt;&gt;"",H12&lt;&gt;""),"Dev","Backlog"))))</f>
        <v>Done</v>
      </c>
    </row>
    <row r="13" customFormat="false" ht="15" hidden="false" customHeight="true" outlineLevel="0" collapsed="false">
      <c r="A13" s="24" t="s">
        <v>172</v>
      </c>
      <c r="B13" s="105" t="s">
        <v>173</v>
      </c>
      <c r="C13" s="37" t="s">
        <v>154</v>
      </c>
      <c r="D13" s="105" t="s">
        <v>158</v>
      </c>
      <c r="E13" s="105" t="s">
        <v>150</v>
      </c>
      <c r="F13" s="105" t="s">
        <v>151</v>
      </c>
      <c r="G13" s="55" t="n">
        <v>8</v>
      </c>
      <c r="H13" s="106" t="n">
        <v>46121</v>
      </c>
      <c r="I13" s="106" t="n">
        <v>46123</v>
      </c>
      <c r="J13" s="106" t="n">
        <v>46125</v>
      </c>
      <c r="K13" s="106" t="n">
        <v>46127</v>
      </c>
      <c r="L13" s="106" t="n">
        <v>46129</v>
      </c>
      <c r="M13" s="106" t="n">
        <v>46126</v>
      </c>
      <c r="N13" s="106" t="n">
        <v>46127</v>
      </c>
      <c r="O13" s="106" t="n">
        <v>46128</v>
      </c>
      <c r="P13" s="106" t="n">
        <v>46131</v>
      </c>
      <c r="Q13" s="106" t="n">
        <v>46133</v>
      </c>
      <c r="R13" s="106" t="n">
        <v>46135</v>
      </c>
      <c r="S13" s="107" t="n">
        <f aca="false">IF(AND(R13&lt;&gt;"",J13&lt;&gt;""),R13-J13,"")</f>
        <v>10</v>
      </c>
      <c r="T13" s="108" t="n">
        <f aca="false">IF(AND(R13&lt;&gt;"",H13&lt;&gt;""),R13-H13,"")</f>
        <v>14</v>
      </c>
      <c r="U13" s="52" t="str">
        <f aca="false">IF(R13&lt;&gt;"","Done",IF(Q13&lt;&gt;"","Accept Test",IF(P13&lt;&gt;"","Test Execute",IF(O13&lt;&gt;"","Review TC",IF(N13&lt;&gt;"","Test Cases",IF(M13&lt;&gt;"","Test Viewpoint",IF(L13&lt;&gt;"","Whitebox",IF(K13&lt;&gt;"","Review Code",IF(J13&lt;&gt;"","Coding",IF(I13&lt;&gt;"","Review Design",IF(H13&lt;&gt;"","Detail Design","To Do")))))))))))</f>
        <v>Done</v>
      </c>
      <c r="V13" s="109" t="str">
        <f aca="false">IF(R13&lt;&gt;"","Done",IF(Q13&lt;&gt;"","Final",IF(OR(P13&lt;&gt;"",O13&lt;&gt;"",N13&lt;&gt;"",M13&lt;&gt;""),"QA",IF(OR(L13&lt;&gt;"",K13&lt;&gt;"",J13&lt;&gt;"",I13&lt;&gt;"",H13&lt;&gt;""),"Dev","Backlog"))))</f>
        <v>Done</v>
      </c>
    </row>
    <row r="14" customFormat="false" ht="15" hidden="false" customHeight="true" outlineLevel="0" collapsed="false">
      <c r="A14" s="26" t="s">
        <v>174</v>
      </c>
      <c r="B14" s="99" t="s">
        <v>175</v>
      </c>
      <c r="C14" s="110" t="s">
        <v>157</v>
      </c>
      <c r="D14" s="99" t="s">
        <v>151</v>
      </c>
      <c r="E14" s="99" t="s">
        <v>159</v>
      </c>
      <c r="F14" s="99" t="s">
        <v>158</v>
      </c>
      <c r="G14" s="28" t="n">
        <v>4</v>
      </c>
      <c r="H14" s="101" t="n">
        <v>46127</v>
      </c>
      <c r="I14" s="101" t="n">
        <v>46129</v>
      </c>
      <c r="J14" s="101" t="n">
        <v>46131</v>
      </c>
      <c r="K14" s="101" t="n">
        <v>46132</v>
      </c>
      <c r="L14" s="101" t="n">
        <v>46133</v>
      </c>
      <c r="M14" s="101" t="n">
        <v>46132</v>
      </c>
      <c r="N14" s="101" t="n">
        <v>46133</v>
      </c>
      <c r="O14" s="101" t="n">
        <v>46134</v>
      </c>
      <c r="P14" s="101" t="n">
        <v>46135</v>
      </c>
      <c r="Q14" s="101" t="n">
        <v>46136</v>
      </c>
      <c r="R14" s="101" t="n">
        <v>46137</v>
      </c>
      <c r="S14" s="102" t="n">
        <f aca="false">IF(AND(R14&lt;&gt;"",J14&lt;&gt;""),R14-J14,"")</f>
        <v>6</v>
      </c>
      <c r="T14" s="103" t="n">
        <f aca="false">IF(AND(R14&lt;&gt;"",H14&lt;&gt;""),R14-H14,"")</f>
        <v>10</v>
      </c>
      <c r="U14" s="47" t="str">
        <f aca="false">IF(R14&lt;&gt;"","Done",IF(Q14&lt;&gt;"","Accept Test",IF(P14&lt;&gt;"","Test Execute",IF(O14&lt;&gt;"","Review TC",IF(N14&lt;&gt;"","Test Cases",IF(M14&lt;&gt;"","Test Viewpoint",IF(L14&lt;&gt;"","Whitebox",IF(K14&lt;&gt;"","Review Code",IF(J14&lt;&gt;"","Coding",IF(I14&lt;&gt;"","Review Design",IF(H14&lt;&gt;"","Detail Design","To Do")))))))))))</f>
        <v>Done</v>
      </c>
      <c r="V14" s="104" t="str">
        <f aca="false">IF(R14&lt;&gt;"","Done",IF(Q14&lt;&gt;"","Final",IF(OR(P14&lt;&gt;"",O14&lt;&gt;"",N14&lt;&gt;"",M14&lt;&gt;""),"QA",IF(OR(L14&lt;&gt;"",K14&lt;&gt;"",J14&lt;&gt;"",I14&lt;&gt;"",H14&lt;&gt;""),"Dev","Backlog"))))</f>
        <v>Done</v>
      </c>
    </row>
    <row r="15" customFormat="false" ht="15" hidden="false" customHeight="true" outlineLevel="0" collapsed="false">
      <c r="A15" s="24" t="s">
        <v>176</v>
      </c>
      <c r="B15" s="105" t="s">
        <v>177</v>
      </c>
      <c r="C15" s="37" t="s">
        <v>154</v>
      </c>
      <c r="D15" s="105" t="s">
        <v>149</v>
      </c>
      <c r="E15" s="105" t="s">
        <v>159</v>
      </c>
      <c r="F15" s="105" t="s">
        <v>151</v>
      </c>
      <c r="G15" s="55" t="n">
        <v>8</v>
      </c>
      <c r="H15" s="106" t="n">
        <v>46127</v>
      </c>
      <c r="I15" s="106" t="n">
        <v>46128</v>
      </c>
      <c r="J15" s="106" t="n">
        <v>46130</v>
      </c>
      <c r="K15" s="106" t="n">
        <v>46132</v>
      </c>
      <c r="L15" s="106" t="n">
        <v>46133</v>
      </c>
      <c r="M15" s="106" t="n">
        <v>46130</v>
      </c>
      <c r="N15" s="106" t="n">
        <v>46131</v>
      </c>
      <c r="O15" s="106" t="n">
        <v>46132</v>
      </c>
      <c r="P15" s="106" t="n">
        <v>46134</v>
      </c>
      <c r="Q15" s="106" t="n">
        <v>46135</v>
      </c>
      <c r="R15" s="106" t="n">
        <v>46136</v>
      </c>
      <c r="S15" s="107" t="n">
        <f aca="false">IF(AND(R15&lt;&gt;"",J15&lt;&gt;""),R15-J15,"")</f>
        <v>6</v>
      </c>
      <c r="T15" s="108" t="n">
        <f aca="false">IF(AND(R15&lt;&gt;"",H15&lt;&gt;""),R15-H15,"")</f>
        <v>9</v>
      </c>
      <c r="U15" s="52" t="str">
        <f aca="false">IF(R15&lt;&gt;"","Done",IF(Q15&lt;&gt;"","Accept Test",IF(P15&lt;&gt;"","Test Execute",IF(O15&lt;&gt;"","Review TC",IF(N15&lt;&gt;"","Test Cases",IF(M15&lt;&gt;"","Test Viewpoint",IF(L15&lt;&gt;"","Whitebox",IF(K15&lt;&gt;"","Review Code",IF(J15&lt;&gt;"","Coding",IF(I15&lt;&gt;"","Review Design",IF(H15&lt;&gt;"","Detail Design","To Do")))))))))))</f>
        <v>Done</v>
      </c>
      <c r="V15" s="109" t="str">
        <f aca="false">IF(R15&lt;&gt;"","Done",IF(Q15&lt;&gt;"","Final",IF(OR(P15&lt;&gt;"",O15&lt;&gt;"",N15&lt;&gt;"",M15&lt;&gt;""),"QA",IF(OR(L15&lt;&gt;"",K15&lt;&gt;"",J15&lt;&gt;"",I15&lt;&gt;"",H15&lt;&gt;""),"Dev","Backlog"))))</f>
        <v>Done</v>
      </c>
    </row>
    <row r="16" customFormat="false" ht="15" hidden="false" customHeight="true" outlineLevel="0" collapsed="false">
      <c r="A16" s="26" t="s">
        <v>178</v>
      </c>
      <c r="B16" s="99" t="s">
        <v>179</v>
      </c>
      <c r="C16" s="37" t="s">
        <v>154</v>
      </c>
      <c r="D16" s="99" t="s">
        <v>158</v>
      </c>
      <c r="E16" s="99" t="s">
        <v>150</v>
      </c>
      <c r="F16" s="99" t="s">
        <v>151</v>
      </c>
      <c r="G16" s="28" t="n">
        <v>16</v>
      </c>
      <c r="H16" s="101" t="n">
        <v>46127</v>
      </c>
      <c r="I16" s="101" t="n">
        <v>46128</v>
      </c>
      <c r="J16" s="101" t="n">
        <v>46130</v>
      </c>
      <c r="K16" s="101" t="n">
        <v>46132</v>
      </c>
      <c r="L16" s="101" t="n">
        <v>46133</v>
      </c>
      <c r="M16" s="101" t="n">
        <v>46130</v>
      </c>
      <c r="N16" s="101" t="n">
        <v>46131</v>
      </c>
      <c r="O16" s="101" t="n">
        <v>46133</v>
      </c>
      <c r="P16" s="101" t="n">
        <v>46135</v>
      </c>
      <c r="Q16" s="101" t="n">
        <v>46137</v>
      </c>
      <c r="R16" s="101" t="n">
        <v>46139</v>
      </c>
      <c r="S16" s="102" t="n">
        <f aca="false">IF(AND(R16&lt;&gt;"",J16&lt;&gt;""),R16-J16,"")</f>
        <v>9</v>
      </c>
      <c r="T16" s="103" t="n">
        <f aca="false">IF(AND(R16&lt;&gt;"",H16&lt;&gt;""),R16-H16,"")</f>
        <v>12</v>
      </c>
      <c r="U16" s="47" t="str">
        <f aca="false">IF(R16&lt;&gt;"","Done",IF(Q16&lt;&gt;"","Accept Test",IF(P16&lt;&gt;"","Test Execute",IF(O16&lt;&gt;"","Review TC",IF(N16&lt;&gt;"","Test Cases",IF(M16&lt;&gt;"","Test Viewpoint",IF(L16&lt;&gt;"","Whitebox",IF(K16&lt;&gt;"","Review Code",IF(J16&lt;&gt;"","Coding",IF(I16&lt;&gt;"","Review Design",IF(H16&lt;&gt;"","Detail Design","To Do")))))))))))</f>
        <v>Done</v>
      </c>
      <c r="V16" s="104" t="str">
        <f aca="false">IF(R16&lt;&gt;"","Done",IF(Q16&lt;&gt;"","Final",IF(OR(P16&lt;&gt;"",O16&lt;&gt;"",N16&lt;&gt;"",M16&lt;&gt;""),"QA",IF(OR(L16&lt;&gt;"",K16&lt;&gt;"",J16&lt;&gt;"",I16&lt;&gt;"",H16&lt;&gt;""),"Dev","Backlog"))))</f>
        <v>Done</v>
      </c>
    </row>
    <row r="17" customFormat="false" ht="15" hidden="false" customHeight="true" outlineLevel="0" collapsed="false">
      <c r="A17" s="24" t="s">
        <v>180</v>
      </c>
      <c r="B17" s="105" t="s">
        <v>181</v>
      </c>
      <c r="C17" s="100" t="s">
        <v>148</v>
      </c>
      <c r="D17" s="105" t="s">
        <v>158</v>
      </c>
      <c r="E17" s="105" t="s">
        <v>150</v>
      </c>
      <c r="F17" s="105" t="s">
        <v>151</v>
      </c>
      <c r="G17" s="55" t="n">
        <v>32</v>
      </c>
      <c r="H17" s="106" t="n">
        <v>46125</v>
      </c>
      <c r="I17" s="106" t="n">
        <v>46127</v>
      </c>
      <c r="J17" s="106" t="n">
        <v>46129</v>
      </c>
      <c r="K17" s="106" t="n">
        <v>46133</v>
      </c>
      <c r="L17" s="106" t="n">
        <v>46134</v>
      </c>
      <c r="M17" s="106" t="n">
        <v>46129</v>
      </c>
      <c r="N17" s="106" t="n">
        <v>46130</v>
      </c>
      <c r="O17" s="106" t="n">
        <v>46131</v>
      </c>
      <c r="P17" s="106" t="n">
        <v>46136</v>
      </c>
      <c r="Q17" s="106" t="n">
        <v>46137</v>
      </c>
      <c r="R17" s="106" t="n">
        <v>46138</v>
      </c>
      <c r="S17" s="107" t="n">
        <f aca="false">IF(AND(R17&lt;&gt;"",J17&lt;&gt;""),R17-J17,"")</f>
        <v>9</v>
      </c>
      <c r="T17" s="108" t="n">
        <f aca="false">IF(AND(R17&lt;&gt;"",H17&lt;&gt;""),R17-H17,"")</f>
        <v>13</v>
      </c>
      <c r="U17" s="52" t="str">
        <f aca="false">IF(R17&lt;&gt;"","Done",IF(Q17&lt;&gt;"","Accept Test",IF(P17&lt;&gt;"","Test Execute",IF(O17&lt;&gt;"","Review TC",IF(N17&lt;&gt;"","Test Cases",IF(M17&lt;&gt;"","Test Viewpoint",IF(L17&lt;&gt;"","Whitebox",IF(K17&lt;&gt;"","Review Code",IF(J17&lt;&gt;"","Coding",IF(I17&lt;&gt;"","Review Design",IF(H17&lt;&gt;"","Detail Design","To Do")))))))))))</f>
        <v>Done</v>
      </c>
      <c r="V17" s="109" t="str">
        <f aca="false">IF(R17&lt;&gt;"","Done",IF(Q17&lt;&gt;"","Final",IF(OR(P17&lt;&gt;"",O17&lt;&gt;"",N17&lt;&gt;"",M17&lt;&gt;""),"QA",IF(OR(L17&lt;&gt;"",K17&lt;&gt;"",J17&lt;&gt;"",I17&lt;&gt;"",H17&lt;&gt;""),"Dev","Backlog"))))</f>
        <v>Done</v>
      </c>
    </row>
    <row r="18" customFormat="false" ht="15" hidden="false" customHeight="true" outlineLevel="0" collapsed="false">
      <c r="A18" s="26" t="s">
        <v>182</v>
      </c>
      <c r="B18" s="99" t="s">
        <v>183</v>
      </c>
      <c r="C18" s="37" t="s">
        <v>154</v>
      </c>
      <c r="D18" s="99" t="s">
        <v>158</v>
      </c>
      <c r="E18" s="99" t="s">
        <v>150</v>
      </c>
      <c r="F18" s="99" t="s">
        <v>151</v>
      </c>
      <c r="G18" s="28" t="n">
        <v>8</v>
      </c>
      <c r="H18" s="101" t="n">
        <v>46127</v>
      </c>
      <c r="I18" s="101" t="n">
        <v>46128</v>
      </c>
      <c r="J18" s="101" t="n">
        <v>46129</v>
      </c>
      <c r="K18" s="101" t="n">
        <v>46130</v>
      </c>
      <c r="L18" s="101" t="n">
        <v>46131</v>
      </c>
      <c r="M18" s="101" t="n">
        <v>46129</v>
      </c>
      <c r="N18" s="101" t="n">
        <v>46130</v>
      </c>
      <c r="O18" s="101" t="n">
        <v>46131</v>
      </c>
      <c r="P18" s="101" t="n">
        <v>46133</v>
      </c>
      <c r="Q18" s="101" t="n">
        <v>46136</v>
      </c>
      <c r="R18" s="101" t="n">
        <v>46138</v>
      </c>
      <c r="S18" s="102" t="n">
        <f aca="false">IF(AND(R18&lt;&gt;"",J18&lt;&gt;""),R18-J18,"")</f>
        <v>9</v>
      </c>
      <c r="T18" s="103" t="n">
        <f aca="false">IF(AND(R18&lt;&gt;"",H18&lt;&gt;""),R18-H18,"")</f>
        <v>11</v>
      </c>
      <c r="U18" s="47" t="str">
        <f aca="false">IF(R18&lt;&gt;"","Done",IF(Q18&lt;&gt;"","Accept Test",IF(P18&lt;&gt;"","Test Execute",IF(O18&lt;&gt;"","Review TC",IF(N18&lt;&gt;"","Test Cases",IF(M18&lt;&gt;"","Test Viewpoint",IF(L18&lt;&gt;"","Whitebox",IF(K18&lt;&gt;"","Review Code",IF(J18&lt;&gt;"","Coding",IF(I18&lt;&gt;"","Review Design",IF(H18&lt;&gt;"","Detail Design","To Do")))))))))))</f>
        <v>Done</v>
      </c>
      <c r="V18" s="104" t="str">
        <f aca="false">IF(R18&lt;&gt;"","Done",IF(Q18&lt;&gt;"","Final",IF(OR(P18&lt;&gt;"",O18&lt;&gt;"",N18&lt;&gt;"",M18&lt;&gt;""),"QA",IF(OR(L18&lt;&gt;"",K18&lt;&gt;"",J18&lt;&gt;"",I18&lt;&gt;"",H18&lt;&gt;""),"Dev","Backlog"))))</f>
        <v>Done</v>
      </c>
    </row>
    <row r="19" customFormat="false" ht="15" hidden="false" customHeight="true" outlineLevel="0" collapsed="false">
      <c r="A19" s="24" t="s">
        <v>184</v>
      </c>
      <c r="B19" s="105" t="s">
        <v>185</v>
      </c>
      <c r="C19" s="37" t="s">
        <v>154</v>
      </c>
      <c r="D19" s="105" t="s">
        <v>149</v>
      </c>
      <c r="E19" s="105" t="s">
        <v>159</v>
      </c>
      <c r="F19" s="105" t="s">
        <v>151</v>
      </c>
      <c r="G19" s="55" t="n">
        <v>24</v>
      </c>
      <c r="H19" s="106" t="n">
        <v>46130</v>
      </c>
      <c r="I19" s="106" t="n">
        <v>46132</v>
      </c>
      <c r="J19" s="106" t="n">
        <v>46133</v>
      </c>
      <c r="K19" s="106" t="n">
        <v>46135</v>
      </c>
      <c r="L19" s="106" t="n">
        <v>46137</v>
      </c>
      <c r="M19" s="106" t="n">
        <v>46134</v>
      </c>
      <c r="N19" s="106" t="n">
        <v>46135</v>
      </c>
      <c r="O19" s="106" t="n">
        <v>46136</v>
      </c>
      <c r="P19" s="106" t="n">
        <v>46138</v>
      </c>
      <c r="Q19" s="106" t="n">
        <v>46139</v>
      </c>
      <c r="R19" s="106" t="n">
        <v>46140</v>
      </c>
      <c r="S19" s="107" t="n">
        <f aca="false">IF(AND(R19&lt;&gt;"",J19&lt;&gt;""),R19-J19,"")</f>
        <v>7</v>
      </c>
      <c r="T19" s="108" t="n">
        <f aca="false">IF(AND(R19&lt;&gt;"",H19&lt;&gt;""),R19-H19,"")</f>
        <v>10</v>
      </c>
      <c r="U19" s="52" t="str">
        <f aca="false">IF(R19&lt;&gt;"","Done",IF(Q19&lt;&gt;"","Accept Test",IF(P19&lt;&gt;"","Test Execute",IF(O19&lt;&gt;"","Review TC",IF(N19&lt;&gt;"","Test Cases",IF(M19&lt;&gt;"","Test Viewpoint",IF(L19&lt;&gt;"","Whitebox",IF(K19&lt;&gt;"","Review Code",IF(J19&lt;&gt;"","Coding",IF(I19&lt;&gt;"","Review Design",IF(H19&lt;&gt;"","Detail Design","To Do")))))))))))</f>
        <v>Done</v>
      </c>
      <c r="V19" s="109" t="str">
        <f aca="false">IF(R19&lt;&gt;"","Done",IF(Q19&lt;&gt;"","Final",IF(OR(P19&lt;&gt;"",O19&lt;&gt;"",N19&lt;&gt;"",M19&lt;&gt;""),"QA",IF(OR(L19&lt;&gt;"",K19&lt;&gt;"",J19&lt;&gt;"",I19&lt;&gt;"",H19&lt;&gt;""),"Dev","Backlog"))))</f>
        <v>Done</v>
      </c>
    </row>
    <row r="20" customFormat="false" ht="15" hidden="false" customHeight="true" outlineLevel="0" collapsed="false">
      <c r="A20" s="26" t="s">
        <v>186</v>
      </c>
      <c r="B20" s="99" t="s">
        <v>187</v>
      </c>
      <c r="C20" s="37" t="s">
        <v>154</v>
      </c>
      <c r="D20" s="99" t="s">
        <v>158</v>
      </c>
      <c r="E20" s="99" t="s">
        <v>159</v>
      </c>
      <c r="F20" s="99" t="s">
        <v>151</v>
      </c>
      <c r="G20" s="28" t="n">
        <v>32</v>
      </c>
      <c r="H20" s="101" t="n">
        <v>46131</v>
      </c>
      <c r="I20" s="101" t="n">
        <v>46132</v>
      </c>
      <c r="J20" s="101" t="n">
        <v>46134</v>
      </c>
      <c r="K20" s="101" t="n">
        <v>46138</v>
      </c>
      <c r="L20" s="101" t="n">
        <v>46139</v>
      </c>
      <c r="M20" s="101" t="n">
        <v>46135</v>
      </c>
      <c r="N20" s="101" t="n">
        <v>46136</v>
      </c>
      <c r="O20" s="101" t="n">
        <v>46137</v>
      </c>
      <c r="P20" s="101" t="n">
        <v>46141</v>
      </c>
      <c r="Q20" s="101" t="n">
        <v>46143</v>
      </c>
      <c r="R20" s="101" t="n">
        <v>46145</v>
      </c>
      <c r="S20" s="102" t="n">
        <f aca="false">IF(AND(R20&lt;&gt;"",J20&lt;&gt;""),R20-J20,"")</f>
        <v>11</v>
      </c>
      <c r="T20" s="103" t="n">
        <f aca="false">IF(AND(R20&lt;&gt;"",H20&lt;&gt;""),R20-H20,"")</f>
        <v>14</v>
      </c>
      <c r="U20" s="47" t="str">
        <f aca="false">IF(R20&lt;&gt;"","Done",IF(Q20&lt;&gt;"","Accept Test",IF(P20&lt;&gt;"","Test Execute",IF(O20&lt;&gt;"","Review TC",IF(N20&lt;&gt;"","Test Cases",IF(M20&lt;&gt;"","Test Viewpoint",IF(L20&lt;&gt;"","Whitebox",IF(K20&lt;&gt;"","Review Code",IF(J20&lt;&gt;"","Coding",IF(I20&lt;&gt;"","Review Design",IF(H20&lt;&gt;"","Detail Design","To Do")))))))))))</f>
        <v>Done</v>
      </c>
      <c r="V20" s="104" t="str">
        <f aca="false">IF(R20&lt;&gt;"","Done",IF(Q20&lt;&gt;"","Final",IF(OR(P20&lt;&gt;"",O20&lt;&gt;"",N20&lt;&gt;"",M20&lt;&gt;""),"QA",IF(OR(L20&lt;&gt;"",K20&lt;&gt;"",J20&lt;&gt;"",I20&lt;&gt;"",H20&lt;&gt;""),"Dev","Backlog"))))</f>
        <v>Done</v>
      </c>
    </row>
    <row r="21" customFormat="false" ht="15" hidden="false" customHeight="true" outlineLevel="0" collapsed="false">
      <c r="A21" s="24" t="s">
        <v>188</v>
      </c>
      <c r="B21" s="105" t="s">
        <v>189</v>
      </c>
      <c r="C21" s="37" t="s">
        <v>154</v>
      </c>
      <c r="D21" s="105" t="s">
        <v>151</v>
      </c>
      <c r="E21" s="105" t="s">
        <v>150</v>
      </c>
      <c r="F21" s="105" t="s">
        <v>158</v>
      </c>
      <c r="G21" s="55" t="n">
        <v>8</v>
      </c>
      <c r="H21" s="106" t="n">
        <v>46129</v>
      </c>
      <c r="I21" s="106" t="n">
        <v>46130</v>
      </c>
      <c r="J21" s="106" t="n">
        <v>46131</v>
      </c>
      <c r="K21" s="106" t="n">
        <v>46132</v>
      </c>
      <c r="L21" s="106" t="n">
        <v>46133</v>
      </c>
      <c r="M21" s="106" t="n">
        <v>46132</v>
      </c>
      <c r="N21" s="106" t="n">
        <v>46133</v>
      </c>
      <c r="O21" s="106" t="n">
        <v>46134</v>
      </c>
      <c r="P21" s="106" t="n">
        <v>46135</v>
      </c>
      <c r="Q21" s="106" t="n">
        <v>46136</v>
      </c>
      <c r="R21" s="106" t="n">
        <v>46138</v>
      </c>
      <c r="S21" s="107" t="n">
        <f aca="false">IF(AND(R21&lt;&gt;"",J21&lt;&gt;""),R21-J21,"")</f>
        <v>7</v>
      </c>
      <c r="T21" s="108" t="n">
        <f aca="false">IF(AND(R21&lt;&gt;"",H21&lt;&gt;""),R21-H21,"")</f>
        <v>9</v>
      </c>
      <c r="U21" s="52" t="str">
        <f aca="false">IF(R21&lt;&gt;"","Done",IF(Q21&lt;&gt;"","Accept Test",IF(P21&lt;&gt;"","Test Execute",IF(O21&lt;&gt;"","Review TC",IF(N21&lt;&gt;"","Test Cases",IF(M21&lt;&gt;"","Test Viewpoint",IF(L21&lt;&gt;"","Whitebox",IF(K21&lt;&gt;"","Review Code",IF(J21&lt;&gt;"","Coding",IF(I21&lt;&gt;"","Review Design",IF(H21&lt;&gt;"","Detail Design","To Do")))))))))))</f>
        <v>Done</v>
      </c>
      <c r="V21" s="109" t="str">
        <f aca="false">IF(R21&lt;&gt;"","Done",IF(Q21&lt;&gt;"","Final",IF(OR(P21&lt;&gt;"",O21&lt;&gt;"",N21&lt;&gt;"",M21&lt;&gt;""),"QA",IF(OR(L21&lt;&gt;"",K21&lt;&gt;"",J21&lt;&gt;"",I21&lt;&gt;"",H21&lt;&gt;""),"Dev","Backlog"))))</f>
        <v>Done</v>
      </c>
    </row>
    <row r="22" customFormat="false" ht="15" hidden="false" customHeight="true" outlineLevel="0" collapsed="false">
      <c r="A22" s="26" t="s">
        <v>190</v>
      </c>
      <c r="B22" s="99" t="s">
        <v>191</v>
      </c>
      <c r="C22" s="37" t="s">
        <v>154</v>
      </c>
      <c r="D22" s="99" t="s">
        <v>158</v>
      </c>
      <c r="E22" s="99" t="s">
        <v>159</v>
      </c>
      <c r="F22" s="99" t="s">
        <v>151</v>
      </c>
      <c r="G22" s="28" t="n">
        <v>16</v>
      </c>
      <c r="H22" s="101" t="n">
        <v>46129</v>
      </c>
      <c r="I22" s="101" t="n">
        <v>46130</v>
      </c>
      <c r="J22" s="101" t="n">
        <v>46132</v>
      </c>
      <c r="K22" s="101" t="n">
        <v>46134</v>
      </c>
      <c r="L22" s="101" t="n">
        <v>46135</v>
      </c>
      <c r="M22" s="101" t="n">
        <v>46133</v>
      </c>
      <c r="N22" s="101" t="n">
        <v>46134</v>
      </c>
      <c r="O22" s="101" t="n">
        <v>46136</v>
      </c>
      <c r="P22" s="101" t="n">
        <v>46137</v>
      </c>
      <c r="Q22" s="101" t="n">
        <v>46139</v>
      </c>
      <c r="R22" s="101" t="n">
        <v>46141</v>
      </c>
      <c r="S22" s="102" t="n">
        <f aca="false">IF(AND(R22&lt;&gt;"",J22&lt;&gt;""),R22-J22,"")</f>
        <v>9</v>
      </c>
      <c r="T22" s="103" t="n">
        <f aca="false">IF(AND(R22&lt;&gt;"",H22&lt;&gt;""),R22-H22,"")</f>
        <v>12</v>
      </c>
      <c r="U22" s="47" t="str">
        <f aca="false">IF(R22&lt;&gt;"","Done",IF(Q22&lt;&gt;"","Accept Test",IF(P22&lt;&gt;"","Test Execute",IF(O22&lt;&gt;"","Review TC",IF(N22&lt;&gt;"","Test Cases",IF(M22&lt;&gt;"","Test Viewpoint",IF(L22&lt;&gt;"","Whitebox",IF(K22&lt;&gt;"","Review Code",IF(J22&lt;&gt;"","Coding",IF(I22&lt;&gt;"","Review Design",IF(H22&lt;&gt;"","Detail Design","To Do")))))))))))</f>
        <v>Done</v>
      </c>
      <c r="V22" s="104" t="str">
        <f aca="false">IF(R22&lt;&gt;"","Done",IF(Q22&lt;&gt;"","Final",IF(OR(P22&lt;&gt;"",O22&lt;&gt;"",N22&lt;&gt;"",M22&lt;&gt;""),"QA",IF(OR(L22&lt;&gt;"",K22&lt;&gt;"",J22&lt;&gt;"",I22&lt;&gt;"",H22&lt;&gt;""),"Dev","Backlog"))))</f>
        <v>Done</v>
      </c>
    </row>
    <row r="23" customFormat="false" ht="15" hidden="false" customHeight="true" outlineLevel="0" collapsed="false">
      <c r="A23" s="24" t="s">
        <v>192</v>
      </c>
      <c r="B23" s="105" t="s">
        <v>193</v>
      </c>
      <c r="C23" s="111" t="s">
        <v>194</v>
      </c>
      <c r="D23" s="105" t="s">
        <v>149</v>
      </c>
      <c r="E23" s="105" t="s">
        <v>150</v>
      </c>
      <c r="F23" s="105" t="s">
        <v>151</v>
      </c>
      <c r="G23" s="55" t="n">
        <v>8</v>
      </c>
      <c r="H23" s="106" t="n">
        <v>46128</v>
      </c>
      <c r="I23" s="106" t="n">
        <v>46130</v>
      </c>
      <c r="J23" s="106" t="n">
        <v>46132</v>
      </c>
      <c r="K23" s="106" t="n">
        <v>46134</v>
      </c>
      <c r="L23" s="106" t="n">
        <v>46135</v>
      </c>
      <c r="M23" s="106" t="n">
        <v>46133</v>
      </c>
      <c r="N23" s="106" t="n">
        <v>46134</v>
      </c>
      <c r="O23" s="106" t="n">
        <v>46136</v>
      </c>
      <c r="P23" s="106" t="n">
        <v>46137</v>
      </c>
      <c r="Q23" s="106" t="n">
        <v>46140</v>
      </c>
      <c r="R23" s="106" t="n">
        <v>46141</v>
      </c>
      <c r="S23" s="107" t="n">
        <f aca="false">IF(AND(R23&lt;&gt;"",J23&lt;&gt;""),R23-J23,"")</f>
        <v>9</v>
      </c>
      <c r="T23" s="108" t="n">
        <f aca="false">IF(AND(R23&lt;&gt;"",H23&lt;&gt;""),R23-H23,"")</f>
        <v>13</v>
      </c>
      <c r="U23" s="52" t="str">
        <f aca="false">IF(R23&lt;&gt;"","Done",IF(Q23&lt;&gt;"","Accept Test",IF(P23&lt;&gt;"","Test Execute",IF(O23&lt;&gt;"","Review TC",IF(N23&lt;&gt;"","Test Cases",IF(M23&lt;&gt;"","Test Viewpoint",IF(L23&lt;&gt;"","Whitebox",IF(K23&lt;&gt;"","Review Code",IF(J23&lt;&gt;"","Coding",IF(I23&lt;&gt;"","Review Design",IF(H23&lt;&gt;"","Detail Design","To Do")))))))))))</f>
        <v>Done</v>
      </c>
      <c r="V23" s="109" t="str">
        <f aca="false">IF(R23&lt;&gt;"","Done",IF(Q23&lt;&gt;"","Final",IF(OR(P23&lt;&gt;"",O23&lt;&gt;"",N23&lt;&gt;"",M23&lt;&gt;""),"QA",IF(OR(L23&lt;&gt;"",K23&lt;&gt;"",J23&lt;&gt;"",I23&lt;&gt;"",H23&lt;&gt;""),"Dev","Backlog"))))</f>
        <v>Done</v>
      </c>
    </row>
    <row r="24" customFormat="false" ht="15" hidden="false" customHeight="true" outlineLevel="0" collapsed="false">
      <c r="A24" s="26" t="s">
        <v>195</v>
      </c>
      <c r="B24" s="99" t="s">
        <v>196</v>
      </c>
      <c r="C24" s="37" t="s">
        <v>154</v>
      </c>
      <c r="D24" s="99" t="s">
        <v>158</v>
      </c>
      <c r="E24" s="99" t="s">
        <v>159</v>
      </c>
      <c r="F24" s="99" t="s">
        <v>151</v>
      </c>
      <c r="G24" s="28" t="n">
        <v>24</v>
      </c>
      <c r="H24" s="101" t="n">
        <v>46132</v>
      </c>
      <c r="I24" s="101" t="n">
        <v>46133</v>
      </c>
      <c r="J24" s="101" t="n">
        <v>46134</v>
      </c>
      <c r="K24" s="101" t="n">
        <v>46138</v>
      </c>
      <c r="L24" s="101" t="n">
        <v>46139</v>
      </c>
      <c r="M24" s="101" t="n">
        <v>46134</v>
      </c>
      <c r="N24" s="101" t="n">
        <v>46135</v>
      </c>
      <c r="O24" s="101" t="n">
        <v>46136</v>
      </c>
      <c r="P24" s="101" t="n">
        <v>46140</v>
      </c>
      <c r="Q24" s="101" t="n">
        <v>46143</v>
      </c>
      <c r="R24" s="101" t="n">
        <v>46145</v>
      </c>
      <c r="S24" s="102" t="n">
        <f aca="false">IF(AND(R24&lt;&gt;"",J24&lt;&gt;""),R24-J24,"")</f>
        <v>11</v>
      </c>
      <c r="T24" s="103" t="n">
        <f aca="false">IF(AND(R24&lt;&gt;"",H24&lt;&gt;""),R24-H24,"")</f>
        <v>13</v>
      </c>
      <c r="U24" s="47" t="str">
        <f aca="false">IF(R24&lt;&gt;"","Done",IF(Q24&lt;&gt;"","Accept Test",IF(P24&lt;&gt;"","Test Execute",IF(O24&lt;&gt;"","Review TC",IF(N24&lt;&gt;"","Test Cases",IF(M24&lt;&gt;"","Test Viewpoint",IF(L24&lt;&gt;"","Whitebox",IF(K24&lt;&gt;"","Review Code",IF(J24&lt;&gt;"","Coding",IF(I24&lt;&gt;"","Review Design",IF(H24&lt;&gt;"","Detail Design","To Do")))))))))))</f>
        <v>Done</v>
      </c>
      <c r="V24" s="104" t="str">
        <f aca="false">IF(R24&lt;&gt;"","Done",IF(Q24&lt;&gt;"","Final",IF(OR(P24&lt;&gt;"",O24&lt;&gt;"",N24&lt;&gt;"",M24&lt;&gt;""),"QA",IF(OR(L24&lt;&gt;"",K24&lt;&gt;"",J24&lt;&gt;"",I24&lt;&gt;"",H24&lt;&gt;""),"Dev","Backlog"))))</f>
        <v>Done</v>
      </c>
    </row>
    <row r="25" customFormat="false" ht="15" hidden="false" customHeight="true" outlineLevel="0" collapsed="false">
      <c r="A25" s="24" t="s">
        <v>197</v>
      </c>
      <c r="B25" s="105" t="s">
        <v>198</v>
      </c>
      <c r="C25" s="110" t="s">
        <v>157</v>
      </c>
      <c r="D25" s="105" t="s">
        <v>151</v>
      </c>
      <c r="E25" s="105" t="s">
        <v>150</v>
      </c>
      <c r="F25" s="105" t="s">
        <v>158</v>
      </c>
      <c r="G25" s="55" t="n">
        <v>8</v>
      </c>
      <c r="H25" s="106" t="n">
        <v>46132</v>
      </c>
      <c r="I25" s="106" t="n">
        <v>46134</v>
      </c>
      <c r="J25" s="106" t="n">
        <v>46136</v>
      </c>
      <c r="K25" s="106" t="n">
        <v>46137</v>
      </c>
      <c r="L25" s="106" t="n">
        <v>46139</v>
      </c>
      <c r="M25" s="106" t="n">
        <v>46137</v>
      </c>
      <c r="N25" s="106" t="n">
        <v>46138</v>
      </c>
      <c r="O25" s="106" t="n">
        <v>46139</v>
      </c>
      <c r="P25" s="106" t="n">
        <v>46140</v>
      </c>
      <c r="Q25" s="106" t="n">
        <v>46141</v>
      </c>
      <c r="R25" s="106" t="n">
        <v>46142</v>
      </c>
      <c r="S25" s="107" t="n">
        <f aca="false">IF(AND(R25&lt;&gt;"",J25&lt;&gt;""),R25-J25,"")</f>
        <v>6</v>
      </c>
      <c r="T25" s="108" t="n">
        <f aca="false">IF(AND(R25&lt;&gt;"",H25&lt;&gt;""),R25-H25,"")</f>
        <v>10</v>
      </c>
      <c r="U25" s="52" t="str">
        <f aca="false">IF(R25&lt;&gt;"","Done",IF(Q25&lt;&gt;"","Accept Test",IF(P25&lt;&gt;"","Test Execute",IF(O25&lt;&gt;"","Review TC",IF(N25&lt;&gt;"","Test Cases",IF(M25&lt;&gt;"","Test Viewpoint",IF(L25&lt;&gt;"","Whitebox",IF(K25&lt;&gt;"","Review Code",IF(J25&lt;&gt;"","Coding",IF(I25&lt;&gt;"","Review Design",IF(H25&lt;&gt;"","Detail Design","To Do")))))))))))</f>
        <v>Done</v>
      </c>
      <c r="V25" s="109" t="str">
        <f aca="false">IF(R25&lt;&gt;"","Done",IF(Q25&lt;&gt;"","Final",IF(OR(P25&lt;&gt;"",O25&lt;&gt;"",N25&lt;&gt;"",M25&lt;&gt;""),"QA",IF(OR(L25&lt;&gt;"",K25&lt;&gt;"",J25&lt;&gt;"",I25&lt;&gt;"",H25&lt;&gt;""),"Dev","Backlog"))))</f>
        <v>Done</v>
      </c>
    </row>
    <row r="26" customFormat="false" ht="15" hidden="false" customHeight="true" outlineLevel="0" collapsed="false">
      <c r="A26" s="26" t="s">
        <v>199</v>
      </c>
      <c r="B26" s="99" t="s">
        <v>200</v>
      </c>
      <c r="C26" s="37" t="s">
        <v>154</v>
      </c>
      <c r="D26" s="99" t="s">
        <v>151</v>
      </c>
      <c r="E26" s="99" t="s">
        <v>150</v>
      </c>
      <c r="F26" s="99" t="s">
        <v>158</v>
      </c>
      <c r="G26" s="28" t="n">
        <v>24</v>
      </c>
      <c r="H26" s="101" t="n">
        <v>46131</v>
      </c>
      <c r="I26" s="101" t="n">
        <v>46132</v>
      </c>
      <c r="J26" s="101" t="n">
        <v>46133</v>
      </c>
      <c r="K26" s="101" t="n">
        <v>46135</v>
      </c>
      <c r="L26" s="101" t="n">
        <v>46137</v>
      </c>
      <c r="M26" s="101" t="n">
        <v>46134</v>
      </c>
      <c r="N26" s="101" t="n">
        <v>46135</v>
      </c>
      <c r="O26" s="101" t="n">
        <v>46137</v>
      </c>
      <c r="P26" s="101" t="n">
        <v>46139</v>
      </c>
      <c r="Q26" s="101" t="n">
        <v>46141</v>
      </c>
      <c r="R26" s="101" t="n">
        <v>46142</v>
      </c>
      <c r="S26" s="102" t="n">
        <f aca="false">IF(AND(R26&lt;&gt;"",J26&lt;&gt;""),R26-J26,"")</f>
        <v>9</v>
      </c>
      <c r="T26" s="103" t="n">
        <f aca="false">IF(AND(R26&lt;&gt;"",H26&lt;&gt;""),R26-H26,"")</f>
        <v>11</v>
      </c>
      <c r="U26" s="47" t="str">
        <f aca="false">IF(R26&lt;&gt;"","Done",IF(Q26&lt;&gt;"","Accept Test",IF(P26&lt;&gt;"","Test Execute",IF(O26&lt;&gt;"","Review TC",IF(N26&lt;&gt;"","Test Cases",IF(M26&lt;&gt;"","Test Viewpoint",IF(L26&lt;&gt;"","Whitebox",IF(K26&lt;&gt;"","Review Code",IF(J26&lt;&gt;"","Coding",IF(I26&lt;&gt;"","Review Design",IF(H26&lt;&gt;"","Detail Design","To Do")))))))))))</f>
        <v>Done</v>
      </c>
      <c r="V26" s="104" t="str">
        <f aca="false">IF(R26&lt;&gt;"","Done",IF(Q26&lt;&gt;"","Final",IF(OR(P26&lt;&gt;"",O26&lt;&gt;"",N26&lt;&gt;"",M26&lt;&gt;""),"QA",IF(OR(L26&lt;&gt;"",K26&lt;&gt;"",J26&lt;&gt;"",I26&lt;&gt;"",H26&lt;&gt;""),"Dev","Backlog"))))</f>
        <v>Done</v>
      </c>
    </row>
    <row r="27" customFormat="false" ht="15" hidden="false" customHeight="true" outlineLevel="0" collapsed="false">
      <c r="A27" s="24" t="s">
        <v>201</v>
      </c>
      <c r="B27" s="105" t="s">
        <v>202</v>
      </c>
      <c r="C27" s="100" t="s">
        <v>148</v>
      </c>
      <c r="D27" s="105" t="s">
        <v>149</v>
      </c>
      <c r="E27" s="105" t="s">
        <v>159</v>
      </c>
      <c r="F27" s="105" t="s">
        <v>151</v>
      </c>
      <c r="G27" s="55" t="n">
        <v>24</v>
      </c>
      <c r="H27" s="106" t="n">
        <v>46132</v>
      </c>
      <c r="I27" s="106" t="n">
        <v>46133</v>
      </c>
      <c r="J27" s="106" t="n">
        <v>46135</v>
      </c>
      <c r="K27" s="106" t="n">
        <v>46138</v>
      </c>
      <c r="L27" s="106" t="n">
        <v>46140</v>
      </c>
      <c r="M27" s="106" t="n">
        <v>46135</v>
      </c>
      <c r="N27" s="106" t="n">
        <v>46136</v>
      </c>
      <c r="O27" s="106" t="n">
        <v>46137</v>
      </c>
      <c r="P27" s="106" t="n">
        <v>46141</v>
      </c>
      <c r="Q27" s="106" t="n">
        <v>46143</v>
      </c>
      <c r="R27" s="106" t="n">
        <v>46144</v>
      </c>
      <c r="S27" s="107" t="n">
        <f aca="false">IF(AND(R27&lt;&gt;"",J27&lt;&gt;""),R27-J27,"")</f>
        <v>9</v>
      </c>
      <c r="T27" s="108" t="n">
        <f aca="false">IF(AND(R27&lt;&gt;"",H27&lt;&gt;""),R27-H27,"")</f>
        <v>12</v>
      </c>
      <c r="U27" s="52" t="str">
        <f aca="false">IF(R27&lt;&gt;"","Done",IF(Q27&lt;&gt;"","Accept Test",IF(P27&lt;&gt;"","Test Execute",IF(O27&lt;&gt;"","Review TC",IF(N27&lt;&gt;"","Test Cases",IF(M27&lt;&gt;"","Test Viewpoint",IF(L27&lt;&gt;"","Whitebox",IF(K27&lt;&gt;"","Review Code",IF(J27&lt;&gt;"","Coding",IF(I27&lt;&gt;"","Review Design",IF(H27&lt;&gt;"","Detail Design","To Do")))))))))))</f>
        <v>Done</v>
      </c>
      <c r="V27" s="109" t="str">
        <f aca="false">IF(R27&lt;&gt;"","Done",IF(Q27&lt;&gt;"","Final",IF(OR(P27&lt;&gt;"",O27&lt;&gt;"",N27&lt;&gt;"",M27&lt;&gt;""),"QA",IF(OR(L27&lt;&gt;"",K27&lt;&gt;"",J27&lt;&gt;"",I27&lt;&gt;"",H27&lt;&gt;""),"Dev","Backlog"))))</f>
        <v>Done</v>
      </c>
    </row>
    <row r="28" customFormat="false" ht="15" hidden="false" customHeight="true" outlineLevel="0" collapsed="false">
      <c r="A28" s="26" t="s">
        <v>203</v>
      </c>
      <c r="B28" s="99" t="s">
        <v>204</v>
      </c>
      <c r="C28" s="110" t="s">
        <v>157</v>
      </c>
      <c r="D28" s="99" t="s">
        <v>149</v>
      </c>
      <c r="E28" s="99" t="s">
        <v>159</v>
      </c>
      <c r="F28" s="99" t="s">
        <v>151</v>
      </c>
      <c r="G28" s="28" t="n">
        <v>4</v>
      </c>
      <c r="H28" s="101" t="n">
        <v>46133</v>
      </c>
      <c r="I28" s="101" t="n">
        <v>46135</v>
      </c>
      <c r="J28" s="101" t="n">
        <v>46136</v>
      </c>
      <c r="K28" s="101" t="n">
        <v>46137</v>
      </c>
      <c r="L28" s="101" t="n">
        <v>46139</v>
      </c>
      <c r="M28" s="101" t="n">
        <v>46136</v>
      </c>
      <c r="N28" s="101" t="n">
        <v>46137</v>
      </c>
      <c r="O28" s="101" t="n">
        <v>46139</v>
      </c>
      <c r="P28" s="101" t="n">
        <v>46141</v>
      </c>
      <c r="Q28" s="101" t="n">
        <v>46143</v>
      </c>
      <c r="R28" s="101" t="n">
        <v>46145</v>
      </c>
      <c r="S28" s="102" t="n">
        <f aca="false">IF(AND(R28&lt;&gt;"",J28&lt;&gt;""),R28-J28,"")</f>
        <v>9</v>
      </c>
      <c r="T28" s="103" t="n">
        <f aca="false">IF(AND(R28&lt;&gt;"",H28&lt;&gt;""),R28-H28,"")</f>
        <v>12</v>
      </c>
      <c r="U28" s="47" t="str">
        <f aca="false">IF(R28&lt;&gt;"","Done",IF(Q28&lt;&gt;"","Accept Test",IF(P28&lt;&gt;"","Test Execute",IF(O28&lt;&gt;"","Review TC",IF(N28&lt;&gt;"","Test Cases",IF(M28&lt;&gt;"","Test Viewpoint",IF(L28&lt;&gt;"","Whitebox",IF(K28&lt;&gt;"","Review Code",IF(J28&lt;&gt;"","Coding",IF(I28&lt;&gt;"","Review Design",IF(H28&lt;&gt;"","Detail Design","To Do")))))))))))</f>
        <v>Done</v>
      </c>
      <c r="V28" s="104" t="str">
        <f aca="false">IF(R28&lt;&gt;"","Done",IF(Q28&lt;&gt;"","Final",IF(OR(P28&lt;&gt;"",O28&lt;&gt;"",N28&lt;&gt;"",M28&lt;&gt;""),"QA",IF(OR(L28&lt;&gt;"",K28&lt;&gt;"",J28&lt;&gt;"",I28&lt;&gt;"",H28&lt;&gt;""),"Dev","Backlog"))))</f>
        <v>Done</v>
      </c>
    </row>
    <row r="29" customFormat="false" ht="15" hidden="false" customHeight="true" outlineLevel="0" collapsed="false">
      <c r="A29" s="24" t="s">
        <v>205</v>
      </c>
      <c r="B29" s="105" t="s">
        <v>206</v>
      </c>
      <c r="C29" s="100" t="s">
        <v>148</v>
      </c>
      <c r="D29" s="105" t="s">
        <v>158</v>
      </c>
      <c r="E29" s="105" t="s">
        <v>150</v>
      </c>
      <c r="F29" s="105" t="s">
        <v>151</v>
      </c>
      <c r="G29" s="55" t="n">
        <v>24</v>
      </c>
      <c r="H29" s="106" t="n">
        <v>46137</v>
      </c>
      <c r="I29" s="106" t="n">
        <v>46139</v>
      </c>
      <c r="J29" s="106" t="n">
        <v>46140</v>
      </c>
      <c r="K29" s="106" t="n">
        <v>46142</v>
      </c>
      <c r="L29" s="106" t="n">
        <v>46144</v>
      </c>
      <c r="M29" s="106" t="n">
        <v>46141</v>
      </c>
      <c r="N29" s="106" t="n">
        <v>46142</v>
      </c>
      <c r="O29" s="106" t="n">
        <v>46143</v>
      </c>
      <c r="P29" s="106" t="n">
        <v>46145</v>
      </c>
      <c r="Q29" s="106" t="n">
        <v>46147</v>
      </c>
      <c r="R29" s="106" t="n">
        <v>46149</v>
      </c>
      <c r="S29" s="107" t="n">
        <f aca="false">IF(AND(R29&lt;&gt;"",J29&lt;&gt;""),R29-J29,"")</f>
        <v>9</v>
      </c>
      <c r="T29" s="108" t="n">
        <f aca="false">IF(AND(R29&lt;&gt;"",H29&lt;&gt;""),R29-H29,"")</f>
        <v>12</v>
      </c>
      <c r="U29" s="52" t="str">
        <f aca="false">IF(R29&lt;&gt;"","Done",IF(Q29&lt;&gt;"","Accept Test",IF(P29&lt;&gt;"","Test Execute",IF(O29&lt;&gt;"","Review TC",IF(N29&lt;&gt;"","Test Cases",IF(M29&lt;&gt;"","Test Viewpoint",IF(L29&lt;&gt;"","Whitebox",IF(K29&lt;&gt;"","Review Code",IF(J29&lt;&gt;"","Coding",IF(I29&lt;&gt;"","Review Design",IF(H29&lt;&gt;"","Detail Design","To Do")))))))))))</f>
        <v>Done</v>
      </c>
      <c r="V29" s="109" t="str">
        <f aca="false">IF(R29&lt;&gt;"","Done",IF(Q29&lt;&gt;"","Final",IF(OR(P29&lt;&gt;"",O29&lt;&gt;"",N29&lt;&gt;"",M29&lt;&gt;""),"QA",IF(OR(L29&lt;&gt;"",K29&lt;&gt;"",J29&lt;&gt;"",I29&lt;&gt;"",H29&lt;&gt;""),"Dev","Backlog"))))</f>
        <v>Done</v>
      </c>
    </row>
    <row r="30" customFormat="false" ht="15" hidden="false" customHeight="true" outlineLevel="0" collapsed="false">
      <c r="A30" s="26" t="s">
        <v>207</v>
      </c>
      <c r="B30" s="99" t="s">
        <v>208</v>
      </c>
      <c r="C30" s="111" t="s">
        <v>194</v>
      </c>
      <c r="D30" s="99" t="s">
        <v>151</v>
      </c>
      <c r="E30" s="99" t="s">
        <v>159</v>
      </c>
      <c r="F30" s="99" t="s">
        <v>158</v>
      </c>
      <c r="G30" s="28" t="n">
        <v>32</v>
      </c>
      <c r="H30" s="101" t="n">
        <v>46134</v>
      </c>
      <c r="I30" s="101" t="n">
        <v>46136</v>
      </c>
      <c r="J30" s="101" t="n">
        <v>46138</v>
      </c>
      <c r="K30" s="101" t="n">
        <v>46141</v>
      </c>
      <c r="L30" s="101" t="n">
        <v>46142</v>
      </c>
      <c r="M30" s="101" t="n">
        <v>46138</v>
      </c>
      <c r="N30" s="101" t="n">
        <v>46139</v>
      </c>
      <c r="O30" s="101" t="n">
        <v>46141</v>
      </c>
      <c r="P30" s="101" t="n">
        <v>46143</v>
      </c>
      <c r="Q30" s="101" t="n">
        <v>46146</v>
      </c>
      <c r="R30" s="101" t="n">
        <v>46147</v>
      </c>
      <c r="S30" s="102" t="n">
        <f aca="false">IF(AND(R30&lt;&gt;"",J30&lt;&gt;""),R30-J30,"")</f>
        <v>9</v>
      </c>
      <c r="T30" s="103" t="n">
        <f aca="false">IF(AND(R30&lt;&gt;"",H30&lt;&gt;""),R30-H30,"")</f>
        <v>13</v>
      </c>
      <c r="U30" s="47" t="str">
        <f aca="false">IF(R30&lt;&gt;"","Done",IF(Q30&lt;&gt;"","Accept Test",IF(P30&lt;&gt;"","Test Execute",IF(O30&lt;&gt;"","Review TC",IF(N30&lt;&gt;"","Test Cases",IF(M30&lt;&gt;"","Test Viewpoint",IF(L30&lt;&gt;"","Whitebox",IF(K30&lt;&gt;"","Review Code",IF(J30&lt;&gt;"","Coding",IF(I30&lt;&gt;"","Review Design",IF(H30&lt;&gt;"","Detail Design","To Do")))))))))))</f>
        <v>Done</v>
      </c>
      <c r="V30" s="104" t="str">
        <f aca="false">IF(R30&lt;&gt;"","Done",IF(Q30&lt;&gt;"","Final",IF(OR(P30&lt;&gt;"",O30&lt;&gt;"",N30&lt;&gt;"",M30&lt;&gt;""),"QA",IF(OR(L30&lt;&gt;"",K30&lt;&gt;"",J30&lt;&gt;"",I30&lt;&gt;"",H30&lt;&gt;""),"Dev","Backlog"))))</f>
        <v>Done</v>
      </c>
    </row>
    <row r="31" customFormat="false" ht="15" hidden="false" customHeight="true" outlineLevel="0" collapsed="false">
      <c r="A31" s="24" t="s">
        <v>209</v>
      </c>
      <c r="B31" s="105" t="s">
        <v>210</v>
      </c>
      <c r="C31" s="37" t="s">
        <v>154</v>
      </c>
      <c r="D31" s="105" t="s">
        <v>158</v>
      </c>
      <c r="E31" s="105" t="s">
        <v>159</v>
      </c>
      <c r="F31" s="105" t="s">
        <v>151</v>
      </c>
      <c r="G31" s="55" t="n">
        <v>16</v>
      </c>
      <c r="H31" s="106" t="n">
        <v>46135</v>
      </c>
      <c r="I31" s="106" t="n">
        <v>46136</v>
      </c>
      <c r="J31" s="106" t="n">
        <v>46137</v>
      </c>
      <c r="K31" s="106" t="n">
        <v>46140</v>
      </c>
      <c r="L31" s="106" t="n">
        <v>46142</v>
      </c>
      <c r="M31" s="106" t="n">
        <v>46138</v>
      </c>
      <c r="N31" s="106" t="n">
        <v>46139</v>
      </c>
      <c r="O31" s="106" t="n">
        <v>46141</v>
      </c>
      <c r="P31" s="106" t="n">
        <v>46144</v>
      </c>
      <c r="Q31" s="106" t="n">
        <v>46145</v>
      </c>
      <c r="R31" s="106" t="n">
        <v>46146</v>
      </c>
      <c r="S31" s="107" t="n">
        <f aca="false">IF(AND(R31&lt;&gt;"",J31&lt;&gt;""),R31-J31,"")</f>
        <v>9</v>
      </c>
      <c r="T31" s="108" t="n">
        <f aca="false">IF(AND(R31&lt;&gt;"",H31&lt;&gt;""),R31-H31,"")</f>
        <v>11</v>
      </c>
      <c r="U31" s="52" t="str">
        <f aca="false">IF(R31&lt;&gt;"","Done",IF(Q31&lt;&gt;"","Accept Test",IF(P31&lt;&gt;"","Test Execute",IF(O31&lt;&gt;"","Review TC",IF(N31&lt;&gt;"","Test Cases",IF(M31&lt;&gt;"","Test Viewpoint",IF(L31&lt;&gt;"","Whitebox",IF(K31&lt;&gt;"","Review Code",IF(J31&lt;&gt;"","Coding",IF(I31&lt;&gt;"","Review Design",IF(H31&lt;&gt;"","Detail Design","To Do")))))))))))</f>
        <v>Done</v>
      </c>
      <c r="V31" s="109" t="str">
        <f aca="false">IF(R31&lt;&gt;"","Done",IF(Q31&lt;&gt;"","Final",IF(OR(P31&lt;&gt;"",O31&lt;&gt;"",N31&lt;&gt;"",M31&lt;&gt;""),"QA",IF(OR(L31&lt;&gt;"",K31&lt;&gt;"",J31&lt;&gt;"",I31&lt;&gt;"",H31&lt;&gt;""),"Dev","Backlog"))))</f>
        <v>Done</v>
      </c>
    </row>
    <row r="32" customFormat="false" ht="15" hidden="false" customHeight="true" outlineLevel="0" collapsed="false">
      <c r="A32" s="26" t="s">
        <v>211</v>
      </c>
      <c r="B32" s="99" t="s">
        <v>212</v>
      </c>
      <c r="C32" s="37" t="s">
        <v>154</v>
      </c>
      <c r="D32" s="99" t="s">
        <v>158</v>
      </c>
      <c r="E32" s="99" t="s">
        <v>150</v>
      </c>
      <c r="F32" s="99" t="s">
        <v>151</v>
      </c>
      <c r="G32" s="28" t="n">
        <v>12</v>
      </c>
      <c r="H32" s="101" t="n">
        <v>46136</v>
      </c>
      <c r="I32" s="101" t="n">
        <v>46138</v>
      </c>
      <c r="J32" s="101" t="n">
        <v>46139</v>
      </c>
      <c r="K32" s="101" t="n">
        <v>46140</v>
      </c>
      <c r="L32" s="101" t="n">
        <v>46141</v>
      </c>
      <c r="M32" s="101" t="n">
        <v>46140</v>
      </c>
      <c r="N32" s="101" t="n">
        <v>46141</v>
      </c>
      <c r="O32" s="101" t="n">
        <v>46143</v>
      </c>
      <c r="P32" s="101" t="n">
        <v>46144</v>
      </c>
      <c r="Q32" s="101" t="n">
        <v>46146</v>
      </c>
      <c r="R32" s="101" t="n">
        <v>46147</v>
      </c>
      <c r="S32" s="102" t="n">
        <f aca="false">IF(AND(R32&lt;&gt;"",J32&lt;&gt;""),R32-J32,"")</f>
        <v>8</v>
      </c>
      <c r="T32" s="103" t="n">
        <f aca="false">IF(AND(R32&lt;&gt;"",H32&lt;&gt;""),R32-H32,"")</f>
        <v>11</v>
      </c>
      <c r="U32" s="47" t="str">
        <f aca="false">IF(R32&lt;&gt;"","Done",IF(Q32&lt;&gt;"","Accept Test",IF(P32&lt;&gt;"","Test Execute",IF(O32&lt;&gt;"","Review TC",IF(N32&lt;&gt;"","Test Cases",IF(M32&lt;&gt;"","Test Viewpoint",IF(L32&lt;&gt;"","Whitebox",IF(K32&lt;&gt;"","Review Code",IF(J32&lt;&gt;"","Coding",IF(I32&lt;&gt;"","Review Design",IF(H32&lt;&gt;"","Detail Design","To Do")))))))))))</f>
        <v>Done</v>
      </c>
      <c r="V32" s="104" t="str">
        <f aca="false">IF(R32&lt;&gt;"","Done",IF(Q32&lt;&gt;"","Final",IF(OR(P32&lt;&gt;"",O32&lt;&gt;"",N32&lt;&gt;"",M32&lt;&gt;""),"QA",IF(OR(L32&lt;&gt;"",K32&lt;&gt;"",J32&lt;&gt;"",I32&lt;&gt;"",H32&lt;&gt;""),"Dev","Backlog"))))</f>
        <v>Done</v>
      </c>
    </row>
    <row r="33" customFormat="false" ht="15" hidden="false" customHeight="true" outlineLevel="0" collapsed="false">
      <c r="A33" s="24" t="s">
        <v>213</v>
      </c>
      <c r="B33" s="105" t="s">
        <v>214</v>
      </c>
      <c r="C33" s="37" t="s">
        <v>154</v>
      </c>
      <c r="D33" s="105" t="s">
        <v>149</v>
      </c>
      <c r="E33" s="105" t="s">
        <v>159</v>
      </c>
      <c r="F33" s="105" t="s">
        <v>151</v>
      </c>
      <c r="G33" s="55" t="n">
        <v>24</v>
      </c>
      <c r="H33" s="106" t="n">
        <v>46134</v>
      </c>
      <c r="I33" s="106" t="n">
        <v>46135</v>
      </c>
      <c r="J33" s="106" t="n">
        <v>46136</v>
      </c>
      <c r="K33" s="106" t="n">
        <v>46138</v>
      </c>
      <c r="L33" s="106" t="n">
        <v>46139</v>
      </c>
      <c r="M33" s="106" t="n">
        <v>46137</v>
      </c>
      <c r="N33" s="106" t="n">
        <v>46138</v>
      </c>
      <c r="O33" s="106" t="n">
        <v>46139</v>
      </c>
      <c r="P33" s="106" t="n">
        <v>46140</v>
      </c>
      <c r="Q33" s="106" t="n">
        <v>46142</v>
      </c>
      <c r="R33" s="106" t="n">
        <v>46144</v>
      </c>
      <c r="S33" s="107" t="n">
        <f aca="false">IF(AND(R33&lt;&gt;"",J33&lt;&gt;""),R33-J33,"")</f>
        <v>8</v>
      </c>
      <c r="T33" s="108" t="n">
        <f aca="false">IF(AND(R33&lt;&gt;"",H33&lt;&gt;""),R33-H33,"")</f>
        <v>10</v>
      </c>
      <c r="U33" s="52" t="str">
        <f aca="false">IF(R33&lt;&gt;"","Done",IF(Q33&lt;&gt;"","Accept Test",IF(P33&lt;&gt;"","Test Execute",IF(O33&lt;&gt;"","Review TC",IF(N33&lt;&gt;"","Test Cases",IF(M33&lt;&gt;"","Test Viewpoint",IF(L33&lt;&gt;"","Whitebox",IF(K33&lt;&gt;"","Review Code",IF(J33&lt;&gt;"","Coding",IF(I33&lt;&gt;"","Review Design",IF(H33&lt;&gt;"","Detail Design","To Do")))))))))))</f>
        <v>Done</v>
      </c>
      <c r="V33" s="109" t="str">
        <f aca="false">IF(R33&lt;&gt;"","Done",IF(Q33&lt;&gt;"","Final",IF(OR(P33&lt;&gt;"",O33&lt;&gt;"",N33&lt;&gt;"",M33&lt;&gt;""),"QA",IF(OR(L33&lt;&gt;"",K33&lt;&gt;"",J33&lt;&gt;"",I33&lt;&gt;"",H33&lt;&gt;""),"Dev","Backlog"))))</f>
        <v>Done</v>
      </c>
    </row>
    <row r="34" customFormat="false" ht="15" hidden="false" customHeight="true" outlineLevel="0" collapsed="false">
      <c r="A34" s="26" t="s">
        <v>215</v>
      </c>
      <c r="B34" s="99" t="s">
        <v>216</v>
      </c>
      <c r="C34" s="37" t="s">
        <v>154</v>
      </c>
      <c r="D34" s="99" t="s">
        <v>149</v>
      </c>
      <c r="E34" s="99" t="s">
        <v>159</v>
      </c>
      <c r="F34" s="99" t="s">
        <v>151</v>
      </c>
      <c r="G34" s="28" t="n">
        <v>12</v>
      </c>
      <c r="H34" s="101" t="n">
        <v>46140</v>
      </c>
      <c r="I34" s="101" t="n">
        <v>46141</v>
      </c>
      <c r="J34" s="101" t="n">
        <v>46142</v>
      </c>
      <c r="K34" s="101" t="n">
        <v>46143</v>
      </c>
      <c r="L34" s="101" t="n">
        <v>46145</v>
      </c>
      <c r="M34" s="101" t="n">
        <v>46142</v>
      </c>
      <c r="N34" s="101" t="n">
        <v>46143</v>
      </c>
      <c r="O34" s="101" t="n">
        <v>46144</v>
      </c>
      <c r="P34" s="101" t="n">
        <v>46147</v>
      </c>
      <c r="Q34" s="101" t="n">
        <v>46149</v>
      </c>
      <c r="R34" s="101" t="n">
        <v>46151</v>
      </c>
      <c r="S34" s="102" t="n">
        <f aca="false">IF(AND(R34&lt;&gt;"",J34&lt;&gt;""),R34-J34,"")</f>
        <v>9</v>
      </c>
      <c r="T34" s="103" t="n">
        <f aca="false">IF(AND(R34&lt;&gt;"",H34&lt;&gt;""),R34-H34,"")</f>
        <v>11</v>
      </c>
      <c r="U34" s="47" t="str">
        <f aca="false">IF(R34&lt;&gt;"","Done",IF(Q34&lt;&gt;"","Accept Test",IF(P34&lt;&gt;"","Test Execute",IF(O34&lt;&gt;"","Review TC",IF(N34&lt;&gt;"","Test Cases",IF(M34&lt;&gt;"","Test Viewpoint",IF(L34&lt;&gt;"","Whitebox",IF(K34&lt;&gt;"","Review Code",IF(J34&lt;&gt;"","Coding",IF(I34&lt;&gt;"","Review Design",IF(H34&lt;&gt;"","Detail Design","To Do")))))))))))</f>
        <v>Done</v>
      </c>
      <c r="V34" s="104" t="str">
        <f aca="false">IF(R34&lt;&gt;"","Done",IF(Q34&lt;&gt;"","Final",IF(OR(P34&lt;&gt;"",O34&lt;&gt;"",N34&lt;&gt;"",M34&lt;&gt;""),"QA",IF(OR(L34&lt;&gt;"",K34&lt;&gt;"",J34&lt;&gt;"",I34&lt;&gt;"",H34&lt;&gt;""),"Dev","Backlog"))))</f>
        <v>Done</v>
      </c>
    </row>
    <row r="35" customFormat="false" ht="15" hidden="false" customHeight="true" outlineLevel="0" collapsed="false">
      <c r="A35" s="24" t="s">
        <v>217</v>
      </c>
      <c r="B35" s="105" t="s">
        <v>218</v>
      </c>
      <c r="C35" s="37" t="s">
        <v>154</v>
      </c>
      <c r="D35" s="105" t="s">
        <v>158</v>
      </c>
      <c r="E35" s="105" t="s">
        <v>159</v>
      </c>
      <c r="F35" s="105" t="s">
        <v>151</v>
      </c>
      <c r="G35" s="55" t="n">
        <v>24</v>
      </c>
      <c r="H35" s="106" t="n">
        <v>46138</v>
      </c>
      <c r="I35" s="106" t="n">
        <v>46140</v>
      </c>
      <c r="J35" s="106" t="n">
        <v>46141</v>
      </c>
      <c r="K35" s="106" t="n">
        <v>46145</v>
      </c>
      <c r="L35" s="106" t="n">
        <v>46146</v>
      </c>
      <c r="M35" s="106" t="n">
        <v>46142</v>
      </c>
      <c r="N35" s="106" t="n">
        <v>46143</v>
      </c>
      <c r="O35" s="106" t="n">
        <v>46145</v>
      </c>
      <c r="P35" s="106" t="n">
        <v>46148</v>
      </c>
      <c r="Q35" s="106" t="n">
        <v>46149</v>
      </c>
      <c r="R35" s="106" t="n">
        <v>46150</v>
      </c>
      <c r="S35" s="107" t="n">
        <f aca="false">IF(AND(R35&lt;&gt;"",J35&lt;&gt;""),R35-J35,"")</f>
        <v>9</v>
      </c>
      <c r="T35" s="108" t="n">
        <f aca="false">IF(AND(R35&lt;&gt;"",H35&lt;&gt;""),R35-H35,"")</f>
        <v>12</v>
      </c>
      <c r="U35" s="52" t="str">
        <f aca="false">IF(R35&lt;&gt;"","Done",IF(Q35&lt;&gt;"","Accept Test",IF(P35&lt;&gt;"","Test Execute",IF(O35&lt;&gt;"","Review TC",IF(N35&lt;&gt;"","Test Cases",IF(M35&lt;&gt;"","Test Viewpoint",IF(L35&lt;&gt;"","Whitebox",IF(K35&lt;&gt;"","Review Code",IF(J35&lt;&gt;"","Coding",IF(I35&lt;&gt;"","Review Design",IF(H35&lt;&gt;"","Detail Design","To Do")))))))))))</f>
        <v>Done</v>
      </c>
      <c r="V35" s="109" t="str">
        <f aca="false">IF(R35&lt;&gt;"","Done",IF(Q35&lt;&gt;"","Final",IF(OR(P35&lt;&gt;"",O35&lt;&gt;"",N35&lt;&gt;"",M35&lt;&gt;""),"QA",IF(OR(L35&lt;&gt;"",K35&lt;&gt;"",J35&lt;&gt;"",I35&lt;&gt;"",H35&lt;&gt;""),"Dev","Backlog"))))</f>
        <v>Done</v>
      </c>
    </row>
    <row r="36" customFormat="false" ht="15" hidden="false" customHeight="true" outlineLevel="0" collapsed="false">
      <c r="A36" s="26" t="s">
        <v>219</v>
      </c>
      <c r="B36" s="99" t="s">
        <v>220</v>
      </c>
      <c r="C36" s="37" t="s">
        <v>154</v>
      </c>
      <c r="D36" s="99" t="s">
        <v>151</v>
      </c>
      <c r="E36" s="99" t="s">
        <v>150</v>
      </c>
      <c r="F36" s="99" t="s">
        <v>158</v>
      </c>
      <c r="G36" s="28" t="n">
        <v>32</v>
      </c>
      <c r="H36" s="101" t="n">
        <v>46138</v>
      </c>
      <c r="I36" s="101" t="n">
        <v>46139</v>
      </c>
      <c r="J36" s="101" t="n">
        <v>46140</v>
      </c>
      <c r="K36" s="101" t="n">
        <v>46144</v>
      </c>
      <c r="L36" s="101" t="n">
        <v>46146</v>
      </c>
      <c r="M36" s="101" t="n">
        <v>46141</v>
      </c>
      <c r="N36" s="101" t="n">
        <v>46142</v>
      </c>
      <c r="O36" s="101" t="n">
        <v>46144</v>
      </c>
      <c r="P36" s="101" t="n">
        <v>46148</v>
      </c>
      <c r="Q36" s="101" t="n">
        <v>46150</v>
      </c>
      <c r="R36" s="101" t="n">
        <v>46152</v>
      </c>
      <c r="S36" s="102" t="n">
        <f aca="false">IF(AND(R36&lt;&gt;"",J36&lt;&gt;""),R36-J36,"")</f>
        <v>12</v>
      </c>
      <c r="T36" s="103" t="n">
        <f aca="false">IF(AND(R36&lt;&gt;"",H36&lt;&gt;""),R36-H36,"")</f>
        <v>14</v>
      </c>
      <c r="U36" s="47" t="str">
        <f aca="false">IF(R36&lt;&gt;"","Done",IF(Q36&lt;&gt;"","Accept Test",IF(P36&lt;&gt;"","Test Execute",IF(O36&lt;&gt;"","Review TC",IF(N36&lt;&gt;"","Test Cases",IF(M36&lt;&gt;"","Test Viewpoint",IF(L36&lt;&gt;"","Whitebox",IF(K36&lt;&gt;"","Review Code",IF(J36&lt;&gt;"","Coding",IF(I36&lt;&gt;"","Review Design",IF(H36&lt;&gt;"","Detail Design","To Do")))))))))))</f>
        <v>Done</v>
      </c>
      <c r="V36" s="104" t="str">
        <f aca="false">IF(R36&lt;&gt;"","Done",IF(Q36&lt;&gt;"","Final",IF(OR(P36&lt;&gt;"",O36&lt;&gt;"",N36&lt;&gt;"",M36&lt;&gt;""),"QA",IF(OR(L36&lt;&gt;"",K36&lt;&gt;"",J36&lt;&gt;"",I36&lt;&gt;"",H36&lt;&gt;""),"Dev","Backlog"))))</f>
        <v>Done</v>
      </c>
    </row>
    <row r="37" customFormat="false" ht="15" hidden="false" customHeight="true" outlineLevel="0" collapsed="false">
      <c r="A37" s="24" t="s">
        <v>221</v>
      </c>
      <c r="B37" s="105" t="s">
        <v>222</v>
      </c>
      <c r="C37" s="100" t="s">
        <v>148</v>
      </c>
      <c r="D37" s="105" t="s">
        <v>151</v>
      </c>
      <c r="E37" s="105" t="s">
        <v>150</v>
      </c>
      <c r="F37" s="105" t="s">
        <v>158</v>
      </c>
      <c r="G37" s="55" t="n">
        <v>12</v>
      </c>
      <c r="H37" s="106" t="n">
        <v>46138</v>
      </c>
      <c r="I37" s="106" t="n">
        <v>46140</v>
      </c>
      <c r="J37" s="106" t="n">
        <v>46142</v>
      </c>
      <c r="K37" s="106" t="n">
        <v>46143</v>
      </c>
      <c r="L37" s="106" t="n">
        <v>46145</v>
      </c>
      <c r="M37" s="106" t="n">
        <v>46142</v>
      </c>
      <c r="N37" s="106" t="n">
        <v>46143</v>
      </c>
      <c r="O37" s="106" t="n">
        <v>46145</v>
      </c>
      <c r="P37" s="106" t="n">
        <v>46146</v>
      </c>
      <c r="Q37" s="106" t="n">
        <v>46149</v>
      </c>
      <c r="R37" s="106" t="n">
        <v>46150</v>
      </c>
      <c r="S37" s="107" t="n">
        <f aca="false">IF(AND(R37&lt;&gt;"",J37&lt;&gt;""),R37-J37,"")</f>
        <v>8</v>
      </c>
      <c r="T37" s="108" t="n">
        <f aca="false">IF(AND(R37&lt;&gt;"",H37&lt;&gt;""),R37-H37,"")</f>
        <v>12</v>
      </c>
      <c r="U37" s="52" t="str">
        <f aca="false">IF(R37&lt;&gt;"","Done",IF(Q37&lt;&gt;"","Accept Test",IF(P37&lt;&gt;"","Test Execute",IF(O37&lt;&gt;"","Review TC",IF(N37&lt;&gt;"","Test Cases",IF(M37&lt;&gt;"","Test Viewpoint",IF(L37&lt;&gt;"","Whitebox",IF(K37&lt;&gt;"","Review Code",IF(J37&lt;&gt;"","Coding",IF(I37&lt;&gt;"","Review Design",IF(H37&lt;&gt;"","Detail Design","To Do")))))))))))</f>
        <v>Done</v>
      </c>
      <c r="V37" s="109" t="str">
        <f aca="false">IF(R37&lt;&gt;"","Done",IF(Q37&lt;&gt;"","Final",IF(OR(P37&lt;&gt;"",O37&lt;&gt;"",N37&lt;&gt;"",M37&lt;&gt;""),"QA",IF(OR(L37&lt;&gt;"",K37&lt;&gt;"",J37&lt;&gt;"",I37&lt;&gt;"",H37&lt;&gt;""),"Dev","Backlog"))))</f>
        <v>Done</v>
      </c>
    </row>
    <row r="38" customFormat="false" ht="15" hidden="false" customHeight="true" outlineLevel="0" collapsed="false">
      <c r="A38" s="26" t="s">
        <v>223</v>
      </c>
      <c r="B38" s="99" t="s">
        <v>224</v>
      </c>
      <c r="C38" s="100" t="s">
        <v>148</v>
      </c>
      <c r="D38" s="99" t="s">
        <v>158</v>
      </c>
      <c r="E38" s="99" t="s">
        <v>150</v>
      </c>
      <c r="F38" s="99" t="s">
        <v>151</v>
      </c>
      <c r="G38" s="28" t="n">
        <v>16</v>
      </c>
      <c r="H38" s="101" t="n">
        <v>46137</v>
      </c>
      <c r="I38" s="101" t="n">
        <v>46139</v>
      </c>
      <c r="J38" s="101" t="n">
        <v>46141</v>
      </c>
      <c r="K38" s="101" t="n">
        <v>46143</v>
      </c>
      <c r="L38" s="101" t="n">
        <v>46144</v>
      </c>
      <c r="M38" s="101" t="n">
        <v>46141</v>
      </c>
      <c r="N38" s="101" t="n">
        <v>46142</v>
      </c>
      <c r="O38" s="101" t="n">
        <v>46144</v>
      </c>
      <c r="P38" s="101" t="n">
        <v>46146</v>
      </c>
      <c r="Q38" s="101" t="n">
        <v>46147</v>
      </c>
      <c r="R38" s="101" t="n">
        <v>46148</v>
      </c>
      <c r="S38" s="102" t="n">
        <f aca="false">IF(AND(R38&lt;&gt;"",J38&lt;&gt;""),R38-J38,"")</f>
        <v>7</v>
      </c>
      <c r="T38" s="103" t="n">
        <f aca="false">IF(AND(R38&lt;&gt;"",H38&lt;&gt;""),R38-H38,"")</f>
        <v>11</v>
      </c>
      <c r="U38" s="47" t="str">
        <f aca="false">IF(R38&lt;&gt;"","Done",IF(Q38&lt;&gt;"","Accept Test",IF(P38&lt;&gt;"","Test Execute",IF(O38&lt;&gt;"","Review TC",IF(N38&lt;&gt;"","Test Cases",IF(M38&lt;&gt;"","Test Viewpoint",IF(L38&lt;&gt;"","Whitebox",IF(K38&lt;&gt;"","Review Code",IF(J38&lt;&gt;"","Coding",IF(I38&lt;&gt;"","Review Design",IF(H38&lt;&gt;"","Detail Design","To Do")))))))))))</f>
        <v>Done</v>
      </c>
      <c r="V38" s="104" t="str">
        <f aca="false">IF(R38&lt;&gt;"","Done",IF(Q38&lt;&gt;"","Final",IF(OR(P38&lt;&gt;"",O38&lt;&gt;"",N38&lt;&gt;"",M38&lt;&gt;""),"QA",IF(OR(L38&lt;&gt;"",K38&lt;&gt;"",J38&lt;&gt;"",I38&lt;&gt;"",H38&lt;&gt;""),"Dev","Backlog"))))</f>
        <v>Done</v>
      </c>
    </row>
    <row r="39" customFormat="false" ht="15" hidden="false" customHeight="true" outlineLevel="0" collapsed="false">
      <c r="A39" s="24" t="s">
        <v>225</v>
      </c>
      <c r="B39" s="105" t="s">
        <v>226</v>
      </c>
      <c r="C39" s="111" t="s">
        <v>194</v>
      </c>
      <c r="D39" s="105" t="s">
        <v>158</v>
      </c>
      <c r="E39" s="105" t="s">
        <v>150</v>
      </c>
      <c r="F39" s="105" t="s">
        <v>151</v>
      </c>
      <c r="G39" s="55" t="n">
        <v>16</v>
      </c>
      <c r="H39" s="106" t="n">
        <v>46142</v>
      </c>
      <c r="I39" s="106" t="n">
        <v>46144</v>
      </c>
      <c r="J39" s="106" t="n">
        <v>46145</v>
      </c>
      <c r="K39" s="106" t="n">
        <v>46148</v>
      </c>
      <c r="L39" s="106" t="n">
        <v>46150</v>
      </c>
      <c r="M39" s="106" t="n">
        <v>46146</v>
      </c>
      <c r="N39" s="106" t="n">
        <v>46147</v>
      </c>
      <c r="O39" s="106" t="n">
        <v>46148</v>
      </c>
      <c r="P39" s="106" t="n">
        <v>46152</v>
      </c>
      <c r="Q39" s="106" t="n">
        <v>46155</v>
      </c>
      <c r="R39" s="106" t="n">
        <v>46157</v>
      </c>
      <c r="S39" s="107" t="n">
        <f aca="false">IF(AND(R39&lt;&gt;"",J39&lt;&gt;""),R39-J39,"")</f>
        <v>12</v>
      </c>
      <c r="T39" s="108" t="n">
        <f aca="false">IF(AND(R39&lt;&gt;"",H39&lt;&gt;""),R39-H39,"")</f>
        <v>15</v>
      </c>
      <c r="U39" s="52" t="str">
        <f aca="false">IF(R39&lt;&gt;"","Done",IF(Q39&lt;&gt;"","Accept Test",IF(P39&lt;&gt;"","Test Execute",IF(O39&lt;&gt;"","Review TC",IF(N39&lt;&gt;"","Test Cases",IF(M39&lt;&gt;"","Test Viewpoint",IF(L39&lt;&gt;"","Whitebox",IF(K39&lt;&gt;"","Review Code",IF(J39&lt;&gt;"","Coding",IF(I39&lt;&gt;"","Review Design",IF(H39&lt;&gt;"","Detail Design","To Do")))))))))))</f>
        <v>Done</v>
      </c>
      <c r="V39" s="109" t="str">
        <f aca="false">IF(R39&lt;&gt;"","Done",IF(Q39&lt;&gt;"","Final",IF(OR(P39&lt;&gt;"",O39&lt;&gt;"",N39&lt;&gt;"",M39&lt;&gt;""),"QA",IF(OR(L39&lt;&gt;"",K39&lt;&gt;"",J39&lt;&gt;"",I39&lt;&gt;"",H39&lt;&gt;""),"Dev","Backlog"))))</f>
        <v>Done</v>
      </c>
    </row>
    <row r="40" customFormat="false" ht="15" hidden="false" customHeight="true" outlineLevel="0" collapsed="false">
      <c r="A40" s="26" t="s">
        <v>227</v>
      </c>
      <c r="B40" s="99" t="s">
        <v>228</v>
      </c>
      <c r="C40" s="111" t="s">
        <v>194</v>
      </c>
      <c r="D40" s="99" t="s">
        <v>149</v>
      </c>
      <c r="E40" s="99" t="s">
        <v>159</v>
      </c>
      <c r="F40" s="99" t="s">
        <v>151</v>
      </c>
      <c r="G40" s="28" t="n">
        <v>24</v>
      </c>
      <c r="H40" s="101" t="n">
        <v>46141</v>
      </c>
      <c r="I40" s="101" t="n">
        <v>46143</v>
      </c>
      <c r="J40" s="101" t="n">
        <v>46144</v>
      </c>
      <c r="K40" s="101" t="n">
        <v>46147</v>
      </c>
      <c r="L40" s="101" t="n">
        <v>46148</v>
      </c>
      <c r="M40" s="101" t="n">
        <v>46145</v>
      </c>
      <c r="N40" s="101" t="n">
        <v>46146</v>
      </c>
      <c r="O40" s="101" t="n">
        <v>46148</v>
      </c>
      <c r="P40" s="101" t="n">
        <v>46149</v>
      </c>
      <c r="Q40" s="40"/>
      <c r="R40" s="40"/>
      <c r="S40" s="102" t="str">
        <f aca="false">IF(AND(R40&lt;&gt;"",J40&lt;&gt;""),R40-J40,"")</f>
        <v/>
      </c>
      <c r="T40" s="103" t="str">
        <f aca="false">IF(AND(R40&lt;&gt;"",H40&lt;&gt;""),R40-H40,"")</f>
        <v/>
      </c>
      <c r="U40" s="47" t="str">
        <f aca="false">IF(R40&lt;&gt;"","Done",IF(Q40&lt;&gt;"","Accept Test",IF(P40&lt;&gt;"","Test Execute",IF(O40&lt;&gt;"","Review TC",IF(N40&lt;&gt;"","Test Cases",IF(M40&lt;&gt;"","Test Viewpoint",IF(L40&lt;&gt;"","Whitebox",IF(K40&lt;&gt;"","Review Code",IF(J40&lt;&gt;"","Coding",IF(I40&lt;&gt;"","Review Design",IF(H40&lt;&gt;"","Detail Design","To Do")))))))))))</f>
        <v>Test Execute</v>
      </c>
      <c r="V40" s="104" t="str">
        <f aca="false">IF(R40&lt;&gt;"","Done",IF(Q40&lt;&gt;"","Final",IF(OR(P40&lt;&gt;"",O40&lt;&gt;"",N40&lt;&gt;"",M40&lt;&gt;""),"QA",IF(OR(L40&lt;&gt;"",K40&lt;&gt;"",J40&lt;&gt;"",I40&lt;&gt;"",H40&lt;&gt;""),"Dev","Backlog"))))</f>
        <v>QA</v>
      </c>
    </row>
    <row r="41" customFormat="false" ht="15" hidden="false" customHeight="true" outlineLevel="0" collapsed="false">
      <c r="A41" s="24" t="s">
        <v>229</v>
      </c>
      <c r="B41" s="105" t="s">
        <v>230</v>
      </c>
      <c r="C41" s="100" t="s">
        <v>148</v>
      </c>
      <c r="D41" s="105" t="s">
        <v>158</v>
      </c>
      <c r="E41" s="105" t="s">
        <v>150</v>
      </c>
      <c r="F41" s="105" t="s">
        <v>151</v>
      </c>
      <c r="G41" s="55" t="n">
        <v>32</v>
      </c>
      <c r="H41" s="106" t="n">
        <v>46140</v>
      </c>
      <c r="I41" s="106" t="n">
        <v>46141</v>
      </c>
      <c r="J41" s="106" t="n">
        <v>46142</v>
      </c>
      <c r="K41" s="106" t="n">
        <v>46147</v>
      </c>
      <c r="L41" s="106" t="n">
        <v>46148</v>
      </c>
      <c r="M41" s="106" t="n">
        <v>46143</v>
      </c>
      <c r="N41" s="106" t="n">
        <v>46144</v>
      </c>
      <c r="O41" s="65"/>
      <c r="P41" s="65"/>
      <c r="Q41" s="65"/>
      <c r="R41" s="65"/>
      <c r="S41" s="107" t="str">
        <f aca="false">IF(AND(R41&lt;&gt;"",J41&lt;&gt;""),R41-J41,"")</f>
        <v/>
      </c>
      <c r="T41" s="108" t="str">
        <f aca="false">IF(AND(R41&lt;&gt;"",H41&lt;&gt;""),R41-H41,"")</f>
        <v/>
      </c>
      <c r="U41" s="52" t="str">
        <f aca="false">IF(R41&lt;&gt;"","Done",IF(Q41&lt;&gt;"","Accept Test",IF(P41&lt;&gt;"","Test Execute",IF(O41&lt;&gt;"","Review TC",IF(N41&lt;&gt;"","Test Cases",IF(M41&lt;&gt;"","Test Viewpoint",IF(L41&lt;&gt;"","Whitebox",IF(K41&lt;&gt;"","Review Code",IF(J41&lt;&gt;"","Coding",IF(I41&lt;&gt;"","Review Design",IF(H41&lt;&gt;"","Detail Design","To Do")))))))))))</f>
        <v>Test Cases</v>
      </c>
      <c r="V41" s="109" t="str">
        <f aca="false">IF(R41&lt;&gt;"","Done",IF(Q41&lt;&gt;"","Final",IF(OR(P41&lt;&gt;"",O41&lt;&gt;"",N41&lt;&gt;"",M41&lt;&gt;""),"QA",IF(OR(L41&lt;&gt;"",K41&lt;&gt;"",J41&lt;&gt;"",I41&lt;&gt;"",H41&lt;&gt;""),"Dev","Backlog"))))</f>
        <v>QA</v>
      </c>
    </row>
    <row r="42" customFormat="false" ht="15" hidden="false" customHeight="true" outlineLevel="0" collapsed="false">
      <c r="A42" s="26" t="s">
        <v>231</v>
      </c>
      <c r="B42" s="99" t="s">
        <v>232</v>
      </c>
      <c r="C42" s="100" t="s">
        <v>148</v>
      </c>
      <c r="D42" s="99" t="s">
        <v>149</v>
      </c>
      <c r="E42" s="99" t="s">
        <v>150</v>
      </c>
      <c r="F42" s="99" t="s">
        <v>151</v>
      </c>
      <c r="G42" s="28" t="n">
        <v>24</v>
      </c>
      <c r="H42" s="101" t="n">
        <v>46141</v>
      </c>
      <c r="I42" s="101" t="n">
        <v>46142</v>
      </c>
      <c r="J42" s="101" t="n">
        <v>46143</v>
      </c>
      <c r="K42" s="101" t="n">
        <v>46145</v>
      </c>
      <c r="L42" s="101" t="n">
        <v>46146</v>
      </c>
      <c r="M42" s="101" t="n">
        <v>46143</v>
      </c>
      <c r="N42" s="101" t="n">
        <v>46144</v>
      </c>
      <c r="O42" s="40"/>
      <c r="P42" s="40"/>
      <c r="Q42" s="40"/>
      <c r="R42" s="40"/>
      <c r="S42" s="102" t="str">
        <f aca="false">IF(AND(R42&lt;&gt;"",J42&lt;&gt;""),R42-J42,"")</f>
        <v/>
      </c>
      <c r="T42" s="103" t="str">
        <f aca="false">IF(AND(R42&lt;&gt;"",H42&lt;&gt;""),R42-H42,"")</f>
        <v/>
      </c>
      <c r="U42" s="47" t="str">
        <f aca="false">IF(R42&lt;&gt;"","Done",IF(Q42&lt;&gt;"","Accept Test",IF(P42&lt;&gt;"","Test Execute",IF(O42&lt;&gt;"","Review TC",IF(N42&lt;&gt;"","Test Cases",IF(M42&lt;&gt;"","Test Viewpoint",IF(L42&lt;&gt;"","Whitebox",IF(K42&lt;&gt;"","Review Code",IF(J42&lt;&gt;"","Coding",IF(I42&lt;&gt;"","Review Design",IF(H42&lt;&gt;"","Detail Design","To Do")))))))))))</f>
        <v>Test Cases</v>
      </c>
      <c r="V42" s="104" t="str">
        <f aca="false">IF(R42&lt;&gt;"","Done",IF(Q42&lt;&gt;"","Final",IF(OR(P42&lt;&gt;"",O42&lt;&gt;"",N42&lt;&gt;"",M42&lt;&gt;""),"QA",IF(OR(L42&lt;&gt;"",K42&lt;&gt;"",J42&lt;&gt;"",I42&lt;&gt;"",H42&lt;&gt;""),"Dev","Backlog"))))</f>
        <v>QA</v>
      </c>
    </row>
    <row r="43" customFormat="false" ht="15" hidden="false" customHeight="true" outlineLevel="0" collapsed="false">
      <c r="A43" s="24" t="s">
        <v>233</v>
      </c>
      <c r="B43" s="105" t="s">
        <v>234</v>
      </c>
      <c r="C43" s="111" t="s">
        <v>194</v>
      </c>
      <c r="D43" s="105" t="s">
        <v>149</v>
      </c>
      <c r="E43" s="105" t="s">
        <v>150</v>
      </c>
      <c r="F43" s="105" t="s">
        <v>151</v>
      </c>
      <c r="G43" s="55" t="n">
        <v>8</v>
      </c>
      <c r="H43" s="106" t="n">
        <v>46143</v>
      </c>
      <c r="I43" s="106" t="n">
        <v>46144</v>
      </c>
      <c r="J43" s="106" t="n">
        <v>46145</v>
      </c>
      <c r="K43" s="106" t="n">
        <v>46146</v>
      </c>
      <c r="L43" s="106" t="n">
        <v>46148</v>
      </c>
      <c r="M43" s="106" t="n">
        <v>46145</v>
      </c>
      <c r="N43" s="106" t="n">
        <v>46146</v>
      </c>
      <c r="O43" s="106" t="n">
        <v>46147</v>
      </c>
      <c r="P43" s="106" t="n">
        <v>46150</v>
      </c>
      <c r="Q43" s="106" t="n">
        <v>46153</v>
      </c>
      <c r="R43" s="65"/>
      <c r="S43" s="107" t="str">
        <f aca="false">IF(AND(R43&lt;&gt;"",J43&lt;&gt;""),R43-J43,"")</f>
        <v/>
      </c>
      <c r="T43" s="108" t="str">
        <f aca="false">IF(AND(R43&lt;&gt;"",H43&lt;&gt;""),R43-H43,"")</f>
        <v/>
      </c>
      <c r="U43" s="52" t="str">
        <f aca="false">IF(R43&lt;&gt;"","Done",IF(Q43&lt;&gt;"","Accept Test",IF(P43&lt;&gt;"","Test Execute",IF(O43&lt;&gt;"","Review TC",IF(N43&lt;&gt;"","Test Cases",IF(M43&lt;&gt;"","Test Viewpoint",IF(L43&lt;&gt;"","Whitebox",IF(K43&lt;&gt;"","Review Code",IF(J43&lt;&gt;"","Coding",IF(I43&lt;&gt;"","Review Design",IF(H43&lt;&gt;"","Detail Design","To Do")))))))))))</f>
        <v>Accept Test</v>
      </c>
      <c r="V43" s="109" t="str">
        <f aca="false">IF(R43&lt;&gt;"","Done",IF(Q43&lt;&gt;"","Final",IF(OR(P43&lt;&gt;"",O43&lt;&gt;"",N43&lt;&gt;"",M43&lt;&gt;""),"QA",IF(OR(L43&lt;&gt;"",K43&lt;&gt;"",J43&lt;&gt;"",I43&lt;&gt;"",H43&lt;&gt;""),"Dev","Backlog"))))</f>
        <v>Final</v>
      </c>
    </row>
    <row r="44" customFormat="false" ht="15" hidden="false" customHeight="true" outlineLevel="0" collapsed="false">
      <c r="A44" s="26" t="s">
        <v>235</v>
      </c>
      <c r="B44" s="99" t="s">
        <v>236</v>
      </c>
      <c r="C44" s="111" t="s">
        <v>194</v>
      </c>
      <c r="D44" s="99" t="s">
        <v>149</v>
      </c>
      <c r="E44" s="99" t="s">
        <v>150</v>
      </c>
      <c r="F44" s="99" t="s">
        <v>151</v>
      </c>
      <c r="G44" s="28" t="n">
        <v>24</v>
      </c>
      <c r="H44" s="101" t="n">
        <v>46144</v>
      </c>
      <c r="I44" s="101" t="n">
        <v>46146</v>
      </c>
      <c r="J44" s="101" t="n">
        <v>46148</v>
      </c>
      <c r="K44" s="101" t="n">
        <v>46151</v>
      </c>
      <c r="L44" s="101" t="n">
        <v>46153</v>
      </c>
      <c r="M44" s="40"/>
      <c r="N44" s="40"/>
      <c r="O44" s="40"/>
      <c r="P44" s="40"/>
      <c r="Q44" s="40"/>
      <c r="R44" s="40"/>
      <c r="S44" s="102" t="str">
        <f aca="false">IF(AND(R44&lt;&gt;"",J44&lt;&gt;""),R44-J44,"")</f>
        <v/>
      </c>
      <c r="T44" s="103" t="str">
        <f aca="false">IF(AND(R44&lt;&gt;"",H44&lt;&gt;""),R44-H44,"")</f>
        <v/>
      </c>
      <c r="U44" s="47" t="str">
        <f aca="false">IF(R44&lt;&gt;"","Done",IF(Q44&lt;&gt;"","Accept Test",IF(P44&lt;&gt;"","Test Execute",IF(O44&lt;&gt;"","Review TC",IF(N44&lt;&gt;"","Test Cases",IF(M44&lt;&gt;"","Test Viewpoint",IF(L44&lt;&gt;"","Whitebox",IF(K44&lt;&gt;"","Review Code",IF(J44&lt;&gt;"","Coding",IF(I44&lt;&gt;"","Review Design",IF(H44&lt;&gt;"","Detail Design","To Do")))))))))))</f>
        <v>Whitebox</v>
      </c>
      <c r="V44" s="104" t="str">
        <f aca="false">IF(R44&lt;&gt;"","Done",IF(Q44&lt;&gt;"","Final",IF(OR(P44&lt;&gt;"",O44&lt;&gt;"",N44&lt;&gt;"",M44&lt;&gt;""),"QA",IF(OR(L44&lt;&gt;"",K44&lt;&gt;"",J44&lt;&gt;"",I44&lt;&gt;"",H44&lt;&gt;""),"Dev","Backlog"))))</f>
        <v>Dev</v>
      </c>
    </row>
    <row r="45" customFormat="false" ht="15" hidden="false" customHeight="true" outlineLevel="0" collapsed="false">
      <c r="A45" s="24" t="s">
        <v>237</v>
      </c>
      <c r="B45" s="105" t="s">
        <v>238</v>
      </c>
      <c r="C45" s="37" t="s">
        <v>154</v>
      </c>
      <c r="D45" s="105" t="s">
        <v>158</v>
      </c>
      <c r="E45" s="105" t="s">
        <v>150</v>
      </c>
      <c r="F45" s="105" t="s">
        <v>151</v>
      </c>
      <c r="G45" s="55" t="n">
        <v>8</v>
      </c>
      <c r="H45" s="106" t="n">
        <v>46144</v>
      </c>
      <c r="I45" s="106" t="n">
        <v>46145</v>
      </c>
      <c r="J45" s="106" t="n">
        <v>46147</v>
      </c>
      <c r="K45" s="106" t="n">
        <v>46148</v>
      </c>
      <c r="L45" s="106" t="n">
        <v>46150</v>
      </c>
      <c r="M45" s="106" t="n">
        <v>46147</v>
      </c>
      <c r="N45" s="106" t="n">
        <v>46148</v>
      </c>
      <c r="O45" s="65"/>
      <c r="P45" s="65"/>
      <c r="Q45" s="65"/>
      <c r="R45" s="65"/>
      <c r="S45" s="107" t="str">
        <f aca="false">IF(AND(R45&lt;&gt;"",J45&lt;&gt;""),R45-J45,"")</f>
        <v/>
      </c>
      <c r="T45" s="108" t="str">
        <f aca="false">IF(AND(R45&lt;&gt;"",H45&lt;&gt;""),R45-H45,"")</f>
        <v/>
      </c>
      <c r="U45" s="52" t="str">
        <f aca="false">IF(R45&lt;&gt;"","Done",IF(Q45&lt;&gt;"","Accept Test",IF(P45&lt;&gt;"","Test Execute",IF(O45&lt;&gt;"","Review TC",IF(N45&lt;&gt;"","Test Cases",IF(M45&lt;&gt;"","Test Viewpoint",IF(L45&lt;&gt;"","Whitebox",IF(K45&lt;&gt;"","Review Code",IF(J45&lt;&gt;"","Coding",IF(I45&lt;&gt;"","Review Design",IF(H45&lt;&gt;"","Detail Design","To Do")))))))))))</f>
        <v>Test Cases</v>
      </c>
      <c r="V45" s="109" t="str">
        <f aca="false">IF(R45&lt;&gt;"","Done",IF(Q45&lt;&gt;"","Final",IF(OR(P45&lt;&gt;"",O45&lt;&gt;"",N45&lt;&gt;"",M45&lt;&gt;""),"QA",IF(OR(L45&lt;&gt;"",K45&lt;&gt;"",J45&lt;&gt;"",I45&lt;&gt;"",H45&lt;&gt;""),"Dev","Backlog"))))</f>
        <v>QA</v>
      </c>
    </row>
    <row r="46" customFormat="false" ht="15" hidden="false" customHeight="true" outlineLevel="0" collapsed="false">
      <c r="A46" s="26" t="s">
        <v>239</v>
      </c>
      <c r="B46" s="99" t="s">
        <v>240</v>
      </c>
      <c r="C46" s="37" t="s">
        <v>154</v>
      </c>
      <c r="D46" s="99" t="s">
        <v>149</v>
      </c>
      <c r="E46" s="99" t="s">
        <v>159</v>
      </c>
      <c r="F46" s="99" t="s">
        <v>151</v>
      </c>
      <c r="G46" s="28" t="n">
        <v>16</v>
      </c>
      <c r="H46" s="101" t="n">
        <v>46146</v>
      </c>
      <c r="I46" s="101" t="n">
        <v>46148</v>
      </c>
      <c r="J46" s="101" t="n">
        <v>46150</v>
      </c>
      <c r="K46" s="101" t="n">
        <v>46152</v>
      </c>
      <c r="L46" s="101" t="n">
        <v>46154</v>
      </c>
      <c r="M46" s="101" t="n">
        <v>46150</v>
      </c>
      <c r="N46" s="101" t="n">
        <v>46151</v>
      </c>
      <c r="O46" s="40"/>
      <c r="P46" s="40"/>
      <c r="Q46" s="40"/>
      <c r="R46" s="40"/>
      <c r="S46" s="102" t="str">
        <f aca="false">IF(AND(R46&lt;&gt;"",J46&lt;&gt;""),R46-J46,"")</f>
        <v/>
      </c>
      <c r="T46" s="103" t="str">
        <f aca="false">IF(AND(R46&lt;&gt;"",H46&lt;&gt;""),R46-H46,"")</f>
        <v/>
      </c>
      <c r="U46" s="47" t="str">
        <f aca="false">IF(R46&lt;&gt;"","Done",IF(Q46&lt;&gt;"","Accept Test",IF(P46&lt;&gt;"","Test Execute",IF(O46&lt;&gt;"","Review TC",IF(N46&lt;&gt;"","Test Cases",IF(M46&lt;&gt;"","Test Viewpoint",IF(L46&lt;&gt;"","Whitebox",IF(K46&lt;&gt;"","Review Code",IF(J46&lt;&gt;"","Coding",IF(I46&lt;&gt;"","Review Design",IF(H46&lt;&gt;"","Detail Design","To Do")))))))))))</f>
        <v>Test Cases</v>
      </c>
      <c r="V46" s="104" t="str">
        <f aca="false">IF(R46&lt;&gt;"","Done",IF(Q46&lt;&gt;"","Final",IF(OR(P46&lt;&gt;"",O46&lt;&gt;"",N46&lt;&gt;"",M46&lt;&gt;""),"QA",IF(OR(L46&lt;&gt;"",K46&lt;&gt;"",J46&lt;&gt;"",I46&lt;&gt;"",H46&lt;&gt;""),"Dev","Backlog"))))</f>
        <v>QA</v>
      </c>
    </row>
    <row r="47" customFormat="false" ht="15" hidden="false" customHeight="true" outlineLevel="0" collapsed="false">
      <c r="A47" s="24" t="s">
        <v>241</v>
      </c>
      <c r="B47" s="105" t="s">
        <v>242</v>
      </c>
      <c r="C47" s="111" t="s">
        <v>194</v>
      </c>
      <c r="D47" s="105" t="s">
        <v>149</v>
      </c>
      <c r="E47" s="105" t="s">
        <v>150</v>
      </c>
      <c r="F47" s="105" t="s">
        <v>151</v>
      </c>
      <c r="G47" s="55" t="n">
        <v>32</v>
      </c>
      <c r="H47" s="106" t="n">
        <v>46144</v>
      </c>
      <c r="I47" s="106" t="n">
        <v>46145</v>
      </c>
      <c r="J47" s="106" t="n">
        <v>46146</v>
      </c>
      <c r="K47" s="106" t="n">
        <v>46150</v>
      </c>
      <c r="L47" s="106" t="n">
        <v>46151</v>
      </c>
      <c r="M47" s="106" t="n">
        <v>46147</v>
      </c>
      <c r="N47" s="106" t="n">
        <v>46148</v>
      </c>
      <c r="O47" s="65"/>
      <c r="P47" s="65"/>
      <c r="Q47" s="65"/>
      <c r="R47" s="65"/>
      <c r="S47" s="107" t="str">
        <f aca="false">IF(AND(R47&lt;&gt;"",J47&lt;&gt;""),R47-J47,"")</f>
        <v/>
      </c>
      <c r="T47" s="108" t="str">
        <f aca="false">IF(AND(R47&lt;&gt;"",H47&lt;&gt;""),R47-H47,"")</f>
        <v/>
      </c>
      <c r="U47" s="52" t="str">
        <f aca="false">IF(R47&lt;&gt;"","Done",IF(Q47&lt;&gt;"","Accept Test",IF(P47&lt;&gt;"","Test Execute",IF(O47&lt;&gt;"","Review TC",IF(N47&lt;&gt;"","Test Cases",IF(M47&lt;&gt;"","Test Viewpoint",IF(L47&lt;&gt;"","Whitebox",IF(K47&lt;&gt;"","Review Code",IF(J47&lt;&gt;"","Coding",IF(I47&lt;&gt;"","Review Design",IF(H47&lt;&gt;"","Detail Design","To Do")))))))))))</f>
        <v>Test Cases</v>
      </c>
      <c r="V47" s="109" t="str">
        <f aca="false">IF(R47&lt;&gt;"","Done",IF(Q47&lt;&gt;"","Final",IF(OR(P47&lt;&gt;"",O47&lt;&gt;"",N47&lt;&gt;"",M47&lt;&gt;""),"QA",IF(OR(L47&lt;&gt;"",K47&lt;&gt;"",J47&lt;&gt;"",I47&lt;&gt;"",H47&lt;&gt;""),"Dev","Backlog"))))</f>
        <v>QA</v>
      </c>
    </row>
    <row r="48" customFormat="false" ht="15" hidden="false" customHeight="true" outlineLevel="0" collapsed="false">
      <c r="A48" s="26" t="s">
        <v>243</v>
      </c>
      <c r="B48" s="99" t="s">
        <v>244</v>
      </c>
      <c r="C48" s="110" t="s">
        <v>157</v>
      </c>
      <c r="D48" s="99" t="s">
        <v>151</v>
      </c>
      <c r="E48" s="99" t="s">
        <v>150</v>
      </c>
      <c r="F48" s="99" t="s">
        <v>158</v>
      </c>
      <c r="G48" s="28" t="n">
        <v>8</v>
      </c>
      <c r="H48" s="101" t="n">
        <v>46145</v>
      </c>
      <c r="I48" s="101" t="n">
        <v>46147</v>
      </c>
      <c r="J48" s="101" t="n">
        <v>46148</v>
      </c>
      <c r="K48" s="101" t="n">
        <v>46149</v>
      </c>
      <c r="L48" s="101" t="n">
        <v>46150</v>
      </c>
      <c r="M48" s="101" t="n">
        <v>46148</v>
      </c>
      <c r="N48" s="101" t="n">
        <v>46149</v>
      </c>
      <c r="O48" s="40"/>
      <c r="P48" s="40"/>
      <c r="Q48" s="40"/>
      <c r="R48" s="40"/>
      <c r="S48" s="102" t="str">
        <f aca="false">IF(AND(R48&lt;&gt;"",J48&lt;&gt;""),R48-J48,"")</f>
        <v/>
      </c>
      <c r="T48" s="103" t="str">
        <f aca="false">IF(AND(R48&lt;&gt;"",H48&lt;&gt;""),R48-H48,"")</f>
        <v/>
      </c>
      <c r="U48" s="47" t="str">
        <f aca="false">IF(R48&lt;&gt;"","Done",IF(Q48&lt;&gt;"","Accept Test",IF(P48&lt;&gt;"","Test Execute",IF(O48&lt;&gt;"","Review TC",IF(N48&lt;&gt;"","Test Cases",IF(M48&lt;&gt;"","Test Viewpoint",IF(L48&lt;&gt;"","Whitebox",IF(K48&lt;&gt;"","Review Code",IF(J48&lt;&gt;"","Coding",IF(I48&lt;&gt;"","Review Design",IF(H48&lt;&gt;"","Detail Design","To Do")))))))))))</f>
        <v>Test Cases</v>
      </c>
      <c r="V48" s="104" t="str">
        <f aca="false">IF(R48&lt;&gt;"","Done",IF(Q48&lt;&gt;"","Final",IF(OR(P48&lt;&gt;"",O48&lt;&gt;"",N48&lt;&gt;"",M48&lt;&gt;""),"QA",IF(OR(L48&lt;&gt;"",K48&lt;&gt;"",J48&lt;&gt;"",I48&lt;&gt;"",H48&lt;&gt;""),"Dev","Backlog"))))</f>
        <v>QA</v>
      </c>
    </row>
    <row r="49" customFormat="false" ht="15" hidden="false" customHeight="true" outlineLevel="0" collapsed="false">
      <c r="A49" s="24" t="s">
        <v>245</v>
      </c>
      <c r="B49" s="105" t="s">
        <v>246</v>
      </c>
      <c r="C49" s="100" t="s">
        <v>148</v>
      </c>
      <c r="D49" s="105" t="s">
        <v>158</v>
      </c>
      <c r="E49" s="105" t="s">
        <v>159</v>
      </c>
      <c r="F49" s="105" t="s">
        <v>151</v>
      </c>
      <c r="G49" s="55" t="n">
        <v>32</v>
      </c>
      <c r="H49" s="106" t="n">
        <v>46146</v>
      </c>
      <c r="I49" s="106" t="n">
        <v>46148</v>
      </c>
      <c r="J49" s="106" t="n">
        <v>46149</v>
      </c>
      <c r="K49" s="106" t="n">
        <v>46153</v>
      </c>
      <c r="L49" s="106" t="n">
        <v>46154</v>
      </c>
      <c r="M49" s="106" t="n">
        <v>46149</v>
      </c>
      <c r="N49" s="106" t="n">
        <v>46150</v>
      </c>
      <c r="O49" s="106" t="n">
        <v>46151</v>
      </c>
      <c r="P49" s="106" t="n">
        <v>46155</v>
      </c>
      <c r="Q49" s="65"/>
      <c r="R49" s="65"/>
      <c r="S49" s="107" t="str">
        <f aca="false">IF(AND(R49&lt;&gt;"",J49&lt;&gt;""),R49-J49,"")</f>
        <v/>
      </c>
      <c r="T49" s="108" t="str">
        <f aca="false">IF(AND(R49&lt;&gt;"",H49&lt;&gt;""),R49-H49,"")</f>
        <v/>
      </c>
      <c r="U49" s="52" t="str">
        <f aca="false">IF(R49&lt;&gt;"","Done",IF(Q49&lt;&gt;"","Accept Test",IF(P49&lt;&gt;"","Test Execute",IF(O49&lt;&gt;"","Review TC",IF(N49&lt;&gt;"","Test Cases",IF(M49&lt;&gt;"","Test Viewpoint",IF(L49&lt;&gt;"","Whitebox",IF(K49&lt;&gt;"","Review Code",IF(J49&lt;&gt;"","Coding",IF(I49&lt;&gt;"","Review Design",IF(H49&lt;&gt;"","Detail Design","To Do")))))))))))</f>
        <v>Test Execute</v>
      </c>
      <c r="V49" s="109" t="str">
        <f aca="false">IF(R49&lt;&gt;"","Done",IF(Q49&lt;&gt;"","Final",IF(OR(P49&lt;&gt;"",O49&lt;&gt;"",N49&lt;&gt;"",M49&lt;&gt;""),"QA",IF(OR(L49&lt;&gt;"",K49&lt;&gt;"",J49&lt;&gt;"",I49&lt;&gt;"",H49&lt;&gt;""),"Dev","Backlog"))))</f>
        <v>QA</v>
      </c>
    </row>
    <row r="50" customFormat="false" ht="15" hidden="false" customHeight="true" outlineLevel="0" collapsed="false">
      <c r="A50" s="26" t="s">
        <v>247</v>
      </c>
      <c r="B50" s="99" t="s">
        <v>248</v>
      </c>
      <c r="C50" s="37" t="s">
        <v>154</v>
      </c>
      <c r="D50" s="99" t="s">
        <v>149</v>
      </c>
      <c r="E50" s="99" t="s">
        <v>150</v>
      </c>
      <c r="F50" s="99" t="s">
        <v>151</v>
      </c>
      <c r="G50" s="28" t="n">
        <v>24</v>
      </c>
      <c r="H50" s="101" t="n">
        <v>46147</v>
      </c>
      <c r="I50" s="101" t="n">
        <v>46149</v>
      </c>
      <c r="J50" s="101" t="n">
        <v>46150</v>
      </c>
      <c r="K50" s="101" t="n">
        <v>46154</v>
      </c>
      <c r="L50" s="101" t="n">
        <v>46156</v>
      </c>
      <c r="M50" s="40"/>
      <c r="N50" s="40"/>
      <c r="O50" s="40"/>
      <c r="P50" s="40"/>
      <c r="Q50" s="40"/>
      <c r="R50" s="40"/>
      <c r="S50" s="102" t="str">
        <f aca="false">IF(AND(R50&lt;&gt;"",J50&lt;&gt;""),R50-J50,"")</f>
        <v/>
      </c>
      <c r="T50" s="103" t="str">
        <f aca="false">IF(AND(R50&lt;&gt;"",H50&lt;&gt;""),R50-H50,"")</f>
        <v/>
      </c>
      <c r="U50" s="47" t="str">
        <f aca="false">IF(R50&lt;&gt;"","Done",IF(Q50&lt;&gt;"","Accept Test",IF(P50&lt;&gt;"","Test Execute",IF(O50&lt;&gt;"","Review TC",IF(N50&lt;&gt;"","Test Cases",IF(M50&lt;&gt;"","Test Viewpoint",IF(L50&lt;&gt;"","Whitebox",IF(K50&lt;&gt;"","Review Code",IF(J50&lt;&gt;"","Coding",IF(I50&lt;&gt;"","Review Design",IF(H50&lt;&gt;"","Detail Design","To Do")))))))))))</f>
        <v>Whitebox</v>
      </c>
      <c r="V50" s="104" t="str">
        <f aca="false">IF(R50&lt;&gt;"","Done",IF(Q50&lt;&gt;"","Final",IF(OR(P50&lt;&gt;"",O50&lt;&gt;"",N50&lt;&gt;"",M50&lt;&gt;""),"QA",IF(OR(L50&lt;&gt;"",K50&lt;&gt;"",J50&lt;&gt;"",I50&lt;&gt;"",H50&lt;&gt;""),"Dev","Backlog"))))</f>
        <v>Dev</v>
      </c>
    </row>
    <row r="51" customFormat="false" ht="15" hidden="false" customHeight="true" outlineLevel="0" collapsed="false">
      <c r="A51" s="24" t="s">
        <v>249</v>
      </c>
      <c r="B51" s="105" t="s">
        <v>250</v>
      </c>
      <c r="C51" s="37" t="s">
        <v>154</v>
      </c>
      <c r="D51" s="105" t="s">
        <v>149</v>
      </c>
      <c r="E51" s="105" t="s">
        <v>159</v>
      </c>
      <c r="F51" s="105" t="s">
        <v>151</v>
      </c>
      <c r="G51" s="55" t="n">
        <v>24</v>
      </c>
      <c r="H51" s="106" t="n">
        <v>46146</v>
      </c>
      <c r="I51" s="106" t="n">
        <v>46147</v>
      </c>
      <c r="J51" s="106" t="n">
        <v>46148</v>
      </c>
      <c r="K51" s="106" t="n">
        <v>46151</v>
      </c>
      <c r="L51" s="65"/>
      <c r="M51" s="65"/>
      <c r="N51" s="65"/>
      <c r="O51" s="65"/>
      <c r="P51" s="65"/>
      <c r="Q51" s="65"/>
      <c r="R51" s="65"/>
      <c r="S51" s="107" t="str">
        <f aca="false">IF(AND(R51&lt;&gt;"",J51&lt;&gt;""),R51-J51,"")</f>
        <v/>
      </c>
      <c r="T51" s="108" t="str">
        <f aca="false">IF(AND(R51&lt;&gt;"",H51&lt;&gt;""),R51-H51,"")</f>
        <v/>
      </c>
      <c r="U51" s="52" t="str">
        <f aca="false">IF(R51&lt;&gt;"","Done",IF(Q51&lt;&gt;"","Accept Test",IF(P51&lt;&gt;"","Test Execute",IF(O51&lt;&gt;"","Review TC",IF(N51&lt;&gt;"","Test Cases",IF(M51&lt;&gt;"","Test Viewpoint",IF(L51&lt;&gt;"","Whitebox",IF(K51&lt;&gt;"","Review Code",IF(J51&lt;&gt;"","Coding",IF(I51&lt;&gt;"","Review Design",IF(H51&lt;&gt;"","Detail Design","To Do")))))))))))</f>
        <v>Review Code</v>
      </c>
      <c r="V51" s="109" t="str">
        <f aca="false">IF(R51&lt;&gt;"","Done",IF(Q51&lt;&gt;"","Final",IF(OR(P51&lt;&gt;"",O51&lt;&gt;"",N51&lt;&gt;"",M51&lt;&gt;""),"QA",IF(OR(L51&lt;&gt;"",K51&lt;&gt;"",J51&lt;&gt;"",I51&lt;&gt;"",H51&lt;&gt;""),"Dev","Backlog"))))</f>
        <v>Dev</v>
      </c>
    </row>
    <row r="53" customFormat="false" ht="15" hidden="false" customHeight="true" outlineLevel="0" collapsed="false">
      <c r="A53" s="36" t="s">
        <v>251</v>
      </c>
      <c r="B53" s="36"/>
      <c r="C53" s="36"/>
      <c r="D53" s="36"/>
      <c r="E53" s="36"/>
      <c r="F53" s="36"/>
      <c r="G53" s="36"/>
      <c r="H53" s="36"/>
      <c r="I53" s="36"/>
      <c r="J53" s="36"/>
    </row>
    <row r="54" customFormat="false" ht="15" hidden="false" customHeight="true" outlineLevel="0" collapsed="false">
      <c r="A54" s="22" t="s">
        <v>24</v>
      </c>
      <c r="B54" s="22"/>
      <c r="C54" s="22"/>
      <c r="D54" s="22"/>
      <c r="E54" s="22"/>
      <c r="F54" s="23" t="n">
        <f aca="false">COUNTA(A4:A51)</f>
        <v>48</v>
      </c>
      <c r="G54" s="23"/>
      <c r="H54" s="23"/>
      <c r="I54" s="23"/>
      <c r="J54" s="23"/>
    </row>
    <row r="55" customFormat="false" ht="15" hidden="false" customHeight="true" outlineLevel="0" collapsed="false">
      <c r="A55" s="26" t="s">
        <v>27</v>
      </c>
      <c r="B55" s="26"/>
      <c r="C55" s="26"/>
      <c r="D55" s="26"/>
      <c r="E55" s="26"/>
      <c r="F55" s="28" t="n">
        <f aca="false">COUNTIF(U4:U51,"Done")</f>
        <v>36</v>
      </c>
      <c r="G55" s="28"/>
      <c r="H55" s="28"/>
      <c r="I55" s="28"/>
      <c r="J55" s="28"/>
    </row>
    <row r="56" customFormat="false" ht="15" hidden="false" customHeight="true" outlineLevel="0" collapsed="false">
      <c r="A56" s="22" t="s">
        <v>252</v>
      </c>
      <c r="B56" s="22"/>
      <c r="C56" s="22"/>
      <c r="D56" s="22"/>
      <c r="E56" s="22"/>
      <c r="F56" s="23" t="n">
        <f aca="false">COUNTIF(V4:V51,"Dev")</f>
        <v>3</v>
      </c>
      <c r="G56" s="23"/>
      <c r="H56" s="23"/>
      <c r="I56" s="23"/>
      <c r="J56" s="23"/>
    </row>
    <row r="57" customFormat="false" ht="15" hidden="false" customHeight="true" outlineLevel="0" collapsed="false">
      <c r="A57" s="26" t="s">
        <v>253</v>
      </c>
      <c r="B57" s="26"/>
      <c r="C57" s="26"/>
      <c r="D57" s="26"/>
      <c r="E57" s="26"/>
      <c r="F57" s="28" t="n">
        <f aca="false">COUNTIF(V4:V51,"QA")</f>
        <v>8</v>
      </c>
      <c r="G57" s="28"/>
      <c r="H57" s="28"/>
      <c r="I57" s="28"/>
      <c r="J57" s="28"/>
    </row>
    <row r="58" customFormat="false" ht="15" hidden="false" customHeight="true" outlineLevel="0" collapsed="false">
      <c r="A58" s="22" t="s">
        <v>254</v>
      </c>
      <c r="B58" s="22"/>
      <c r="C58" s="22"/>
      <c r="D58" s="22"/>
      <c r="E58" s="22"/>
      <c r="F58" s="23" t="n">
        <f aca="false">COUNTIF(V4:V51,"Final")</f>
        <v>1</v>
      </c>
      <c r="G58" s="23"/>
      <c r="H58" s="23"/>
      <c r="I58" s="23"/>
      <c r="J58" s="23"/>
    </row>
    <row r="59" customFormat="false" ht="15" hidden="false" customHeight="true" outlineLevel="0" collapsed="false">
      <c r="A59" s="26" t="s">
        <v>255</v>
      </c>
      <c r="B59" s="26"/>
      <c r="C59" s="26"/>
      <c r="D59" s="26"/>
      <c r="E59" s="26"/>
      <c r="F59" s="28" t="n">
        <f aca="false">COUNTIF(V4:V51,"Backlog")</f>
        <v>0</v>
      </c>
      <c r="G59" s="28"/>
      <c r="H59" s="28"/>
      <c r="I59" s="28"/>
      <c r="J59" s="28"/>
    </row>
    <row r="60" customFormat="false" ht="15" hidden="false" customHeight="true" outlineLevel="0" collapsed="false">
      <c r="A60" s="22" t="s">
        <v>256</v>
      </c>
      <c r="B60" s="22"/>
      <c r="C60" s="22"/>
      <c r="D60" s="22"/>
      <c r="E60" s="22"/>
      <c r="F60" s="112" t="str">
        <f aca="false">IFERROR(AVERAGEIF(S4:S51,"&lt;&gt;","S4:S51"),"")</f>
        <v/>
      </c>
      <c r="G60" s="112"/>
      <c r="H60" s="112"/>
      <c r="I60" s="112"/>
      <c r="J60" s="112"/>
    </row>
    <row r="61" customFormat="false" ht="15" hidden="false" customHeight="true" outlineLevel="0" collapsed="false">
      <c r="A61" s="26" t="s">
        <v>257</v>
      </c>
      <c r="B61" s="26"/>
      <c r="C61" s="26"/>
      <c r="D61" s="26"/>
      <c r="E61" s="26"/>
      <c r="F61" s="113" t="n">
        <f aca="false">MAX(S4:S51)</f>
        <v>12</v>
      </c>
      <c r="G61" s="113"/>
      <c r="H61" s="113"/>
      <c r="I61" s="113"/>
      <c r="J61" s="113"/>
    </row>
    <row r="62" customFormat="false" ht="15" hidden="false" customHeight="true" outlineLevel="0" collapsed="false">
      <c r="A62" s="22" t="s">
        <v>258</v>
      </c>
      <c r="B62" s="22"/>
      <c r="C62" s="22"/>
      <c r="D62" s="22"/>
      <c r="E62" s="22"/>
      <c r="F62" s="112" t="n">
        <f aca="false">MIN(S4:S51)</f>
        <v>6</v>
      </c>
      <c r="G62" s="112"/>
      <c r="H62" s="112"/>
      <c r="I62" s="112"/>
      <c r="J62" s="112"/>
    </row>
    <row r="63" customFormat="false" ht="15" hidden="false" customHeight="true" outlineLevel="0" collapsed="false">
      <c r="A63" s="26" t="s">
        <v>259</v>
      </c>
      <c r="B63" s="26"/>
      <c r="C63" s="26"/>
      <c r="D63" s="26"/>
      <c r="E63" s="26"/>
      <c r="F63" s="113" t="n">
        <f aca="false">IFERROR(AVERAGEIF(T4:T51,"&gt;0"),"")</f>
        <v>11.8333333333333</v>
      </c>
      <c r="G63" s="113"/>
      <c r="H63" s="113"/>
      <c r="I63" s="113"/>
      <c r="J63" s="113"/>
    </row>
    <row r="64" customFormat="false" ht="15" hidden="false" customHeight="true" outlineLevel="0" collapsed="false">
      <c r="A64" s="22" t="s">
        <v>34</v>
      </c>
      <c r="B64" s="22"/>
      <c r="C64" s="22"/>
      <c r="D64" s="22"/>
      <c r="E64" s="22"/>
      <c r="F64" s="23" t="n">
        <f aca="false">SUM(G4:G51)</f>
        <v>888</v>
      </c>
      <c r="G64" s="23"/>
      <c r="H64" s="23"/>
      <c r="I64" s="23"/>
      <c r="J64" s="23"/>
    </row>
    <row r="65" customFormat="false" ht="15" hidden="false" customHeight="true" outlineLevel="0" collapsed="false">
      <c r="A65" s="26" t="s">
        <v>37</v>
      </c>
      <c r="B65" s="26"/>
      <c r="C65" s="26"/>
      <c r="D65" s="26"/>
      <c r="E65" s="26"/>
      <c r="F65" s="28" t="n">
        <f aca="false">SUMPRODUCT((U4:U51="Done")*G4:G51)</f>
        <v>632</v>
      </c>
      <c r="G65" s="28"/>
      <c r="H65" s="28"/>
      <c r="I65" s="28"/>
      <c r="J65" s="28"/>
    </row>
    <row r="66" customFormat="false" ht="15" hidden="false" customHeight="true" outlineLevel="0" collapsed="false">
      <c r="A66" s="22" t="s">
        <v>39</v>
      </c>
      <c r="B66" s="22"/>
      <c r="C66" s="22"/>
      <c r="D66" s="22"/>
      <c r="E66" s="22"/>
      <c r="F66" s="23" t="n">
        <f aca="false">SUM(G4:G51)-SUMPRODUCT((U4:U51="Done")*G4:G51)</f>
        <v>256</v>
      </c>
      <c r="G66" s="23"/>
      <c r="H66" s="23"/>
      <c r="I66" s="23"/>
      <c r="J66" s="23"/>
    </row>
    <row r="67" customFormat="false" ht="15" hidden="false" customHeight="true" outlineLevel="0" collapsed="false">
      <c r="A67" s="26" t="s">
        <v>33</v>
      </c>
      <c r="B67" s="26"/>
      <c r="C67" s="26"/>
      <c r="D67" s="26"/>
      <c r="E67" s="26"/>
      <c r="F67" s="31" t="n">
        <f aca="false">IFERROR(COUNTIF(U4:U51,"Done")/COUNTA(A4:A51),"")</f>
        <v>0.75</v>
      </c>
      <c r="G67" s="31"/>
      <c r="H67" s="31"/>
      <c r="I67" s="31"/>
      <c r="J67" s="31"/>
    </row>
    <row r="68" customFormat="false" ht="15" hidden="false" customHeight="true" outlineLevel="0" collapsed="false">
      <c r="A68" s="22" t="s">
        <v>36</v>
      </c>
      <c r="B68" s="22"/>
      <c r="C68" s="22"/>
      <c r="D68" s="22"/>
      <c r="E68" s="22"/>
      <c r="F68" s="32" t="n">
        <f aca="false">IFERROR(SUMPRODUCT((U4:U51="Done")*G4:G51)/SUM(G4:G51),"")</f>
        <v>0.711711711711712</v>
      </c>
      <c r="G68" s="32"/>
      <c r="H68" s="32"/>
      <c r="I68" s="32"/>
      <c r="J68" s="32"/>
    </row>
    <row r="70" customFormat="false" ht="15" hidden="false" customHeight="true" outlineLevel="0" collapsed="false">
      <c r="A70" s="35" t="s">
        <v>260</v>
      </c>
      <c r="B70" s="35"/>
      <c r="C70" s="35"/>
      <c r="D70" s="35"/>
      <c r="E70" s="35"/>
      <c r="F70" s="35"/>
      <c r="G70" s="35"/>
      <c r="H70" s="35"/>
      <c r="I70" s="35"/>
      <c r="J70" s="35"/>
    </row>
    <row r="71" customFormat="false" ht="34.5" hidden="false" customHeight="true" outlineLevel="0" collapsed="false">
      <c r="A71" s="21" t="s">
        <v>49</v>
      </c>
      <c r="B71" s="21" t="s">
        <v>51</v>
      </c>
      <c r="C71" s="21" t="s">
        <v>50</v>
      </c>
      <c r="D71" s="21" t="s">
        <v>261</v>
      </c>
    </row>
    <row r="72" customFormat="false" ht="15" hidden="false" customHeight="true" outlineLevel="0" collapsed="false">
      <c r="A72" s="26" t="s">
        <v>62</v>
      </c>
      <c r="B72" s="38" t="n">
        <f aca="false">COUNTIF(U4:U51,A72)</f>
        <v>0</v>
      </c>
      <c r="C72" s="104" t="s">
        <v>63</v>
      </c>
      <c r="D72" s="61" t="s">
        <v>64</v>
      </c>
    </row>
    <row r="73" customFormat="false" ht="15" hidden="false" customHeight="true" outlineLevel="0" collapsed="false">
      <c r="A73" s="24" t="s">
        <v>65</v>
      </c>
      <c r="B73" s="49" t="n">
        <f aca="false">COUNTIF(U4:U51,A73)</f>
        <v>0</v>
      </c>
      <c r="C73" s="109" t="s">
        <v>63</v>
      </c>
      <c r="D73" s="50" t="s">
        <v>66</v>
      </c>
    </row>
    <row r="74" customFormat="false" ht="15" hidden="false" customHeight="true" outlineLevel="0" collapsed="false">
      <c r="A74" s="26" t="s">
        <v>68</v>
      </c>
      <c r="B74" s="38" t="n">
        <f aca="false">COUNTIF(U4:U51,A74)</f>
        <v>0</v>
      </c>
      <c r="C74" s="104" t="s">
        <v>63</v>
      </c>
      <c r="D74" s="61" t="s">
        <v>69</v>
      </c>
    </row>
    <row r="75" customFormat="false" ht="15" hidden="false" customHeight="true" outlineLevel="0" collapsed="false">
      <c r="A75" s="24" t="s">
        <v>71</v>
      </c>
      <c r="B75" s="49" t="n">
        <f aca="false">COUNTIF(U4:U51,A75)</f>
        <v>1</v>
      </c>
      <c r="C75" s="109" t="s">
        <v>63</v>
      </c>
      <c r="D75" s="50" t="s">
        <v>66</v>
      </c>
    </row>
    <row r="76" customFormat="false" ht="15" hidden="false" customHeight="true" outlineLevel="0" collapsed="false">
      <c r="A76" s="26" t="s">
        <v>72</v>
      </c>
      <c r="B76" s="38" t="n">
        <f aca="false">COUNTIF(U4:U51,A76)</f>
        <v>2</v>
      </c>
      <c r="C76" s="104" t="s">
        <v>63</v>
      </c>
      <c r="D76" s="61" t="s">
        <v>66</v>
      </c>
    </row>
    <row r="77" customFormat="false" ht="15" hidden="false" customHeight="true" outlineLevel="0" collapsed="false">
      <c r="A77" s="24" t="s">
        <v>74</v>
      </c>
      <c r="B77" s="49" t="n">
        <f aca="false">COUNTIF(U4:U51,A77)</f>
        <v>0</v>
      </c>
      <c r="C77" s="109" t="s">
        <v>75</v>
      </c>
      <c r="D77" s="50" t="s">
        <v>64</v>
      </c>
    </row>
    <row r="78" customFormat="false" ht="15" hidden="false" customHeight="true" outlineLevel="0" collapsed="false">
      <c r="A78" s="26" t="s">
        <v>76</v>
      </c>
      <c r="B78" s="38" t="n">
        <f aca="false">COUNTIF(U4:U51,A78)</f>
        <v>6</v>
      </c>
      <c r="C78" s="104" t="s">
        <v>75</v>
      </c>
      <c r="D78" s="61" t="s">
        <v>69</v>
      </c>
    </row>
    <row r="79" customFormat="false" ht="15" hidden="false" customHeight="true" outlineLevel="0" collapsed="false">
      <c r="A79" s="24" t="s">
        <v>77</v>
      </c>
      <c r="B79" s="49" t="n">
        <f aca="false">COUNTIF(U4:U51,A79)</f>
        <v>0</v>
      </c>
      <c r="C79" s="109" t="s">
        <v>75</v>
      </c>
      <c r="D79" s="50" t="s">
        <v>66</v>
      </c>
    </row>
    <row r="80" customFormat="false" ht="15" hidden="false" customHeight="true" outlineLevel="0" collapsed="false">
      <c r="A80" s="26" t="s">
        <v>79</v>
      </c>
      <c r="B80" s="38" t="n">
        <f aca="false">COUNTIF(U4:U51,A80)</f>
        <v>2</v>
      </c>
      <c r="C80" s="104" t="s">
        <v>75</v>
      </c>
      <c r="D80" s="61" t="s">
        <v>69</v>
      </c>
    </row>
    <row r="81" customFormat="false" ht="15" hidden="false" customHeight="true" outlineLevel="0" collapsed="false">
      <c r="A81" s="24" t="s">
        <v>80</v>
      </c>
      <c r="B81" s="49" t="n">
        <f aca="false">COUNTIF(U4:U51,A81)</f>
        <v>0</v>
      </c>
      <c r="C81" s="109" t="s">
        <v>81</v>
      </c>
      <c r="D81" s="50" t="s">
        <v>66</v>
      </c>
    </row>
  </sheetData>
  <autoFilter ref="A3:V51"/>
  <mergeCells count="38">
    <mergeCell ref="A1:V1"/>
    <mergeCell ref="A2:G2"/>
    <mergeCell ref="H2:L2"/>
    <mergeCell ref="M2:P2"/>
    <mergeCell ref="Q2:R2"/>
    <mergeCell ref="S2:V2"/>
    <mergeCell ref="A53:J53"/>
    <mergeCell ref="A54:E54"/>
    <mergeCell ref="F54:J54"/>
    <mergeCell ref="A55:E55"/>
    <mergeCell ref="F55:J55"/>
    <mergeCell ref="A56:E56"/>
    <mergeCell ref="F56:J56"/>
    <mergeCell ref="A57:E57"/>
    <mergeCell ref="F57:J57"/>
    <mergeCell ref="A58:E58"/>
    <mergeCell ref="F58:J58"/>
    <mergeCell ref="A59:E59"/>
    <mergeCell ref="F59:J59"/>
    <mergeCell ref="A60:E60"/>
    <mergeCell ref="F60:J60"/>
    <mergeCell ref="A61:E61"/>
    <mergeCell ref="F61:J61"/>
    <mergeCell ref="A62:E62"/>
    <mergeCell ref="F62:J62"/>
    <mergeCell ref="A63:E63"/>
    <mergeCell ref="F63:J63"/>
    <mergeCell ref="A64:E64"/>
    <mergeCell ref="F64:J64"/>
    <mergeCell ref="A65:E65"/>
    <mergeCell ref="F65:J65"/>
    <mergeCell ref="A66:E66"/>
    <mergeCell ref="F66:J66"/>
    <mergeCell ref="A67:E67"/>
    <mergeCell ref="F67:J67"/>
    <mergeCell ref="A68:E68"/>
    <mergeCell ref="F68:J68"/>
    <mergeCell ref="A70:J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P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87" width="10"/>
    <col collapsed="false" customWidth="true" hidden="false" outlineLevel="0" max="2" min="2" style="87" width="5"/>
    <col collapsed="false" customWidth="true" hidden="false" outlineLevel="0" max="3" min="3" style="87" width="13"/>
    <col collapsed="false" customWidth="true" hidden="false" outlineLevel="0" max="4" min="4" style="87" width="11"/>
    <col collapsed="false" customWidth="true" hidden="false" outlineLevel="0" max="5" min="5" style="87" width="9"/>
    <col collapsed="false" customWidth="true" hidden="false" outlineLevel="0" max="7" min="6" style="87" width="10"/>
    <col collapsed="false" customWidth="true" hidden="false" outlineLevel="0" max="8" min="8" style="87" width="9"/>
    <col collapsed="false" customWidth="true" hidden="false" outlineLevel="0" max="9" min="9" style="87" width="11"/>
    <col collapsed="false" customWidth="true" hidden="false" outlineLevel="0" max="10" min="10" style="87" width="9"/>
    <col collapsed="false" customWidth="true" hidden="false" outlineLevel="0" max="11" min="11" style="87" width="10"/>
    <col collapsed="false" customWidth="true" hidden="false" outlineLevel="0" max="12" min="12" style="87" width="12"/>
    <col collapsed="false" customWidth="true" hidden="false" outlineLevel="0" max="13" min="13" style="87" width="7"/>
    <col collapsed="false" customWidth="true" hidden="false" outlineLevel="0" max="15" min="14" style="87" width="9"/>
    <col collapsed="false" customWidth="true" hidden="false" outlineLevel="0" max="16" min="16" style="87" width="10"/>
  </cols>
  <sheetData>
    <row r="1" customFormat="false" ht="30" hidden="false" customHeight="true" outlineLevel="0" collapsed="false">
      <c r="A1" s="88" t="s">
        <v>262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</row>
    <row r="2" customFormat="false" ht="15" hidden="false" customHeight="true" outlineLevel="0" collapsed="false">
      <c r="A2" s="114" t="s">
        <v>263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</row>
    <row r="3" customFormat="false" ht="15" hidden="false" customHeight="true" outlineLevel="0" collapsed="false">
      <c r="C3" s="90" t="s">
        <v>119</v>
      </c>
      <c r="D3" s="90"/>
      <c r="E3" s="90"/>
      <c r="F3" s="90"/>
      <c r="G3" s="90"/>
      <c r="H3" s="91" t="s">
        <v>124</v>
      </c>
      <c r="I3" s="91"/>
      <c r="J3" s="91"/>
      <c r="K3" s="91"/>
      <c r="N3" s="93" t="s">
        <v>264</v>
      </c>
      <c r="O3" s="93"/>
      <c r="P3" s="93"/>
    </row>
    <row r="4" customFormat="false" ht="15" hidden="false" customHeight="true" outlineLevel="0" collapsed="false">
      <c r="A4" s="21" t="s">
        <v>265</v>
      </c>
      <c r="B4" s="21" t="s">
        <v>266</v>
      </c>
      <c r="C4" s="21" t="s">
        <v>62</v>
      </c>
      <c r="D4" s="21" t="s">
        <v>267</v>
      </c>
      <c r="E4" s="21" t="s">
        <v>68</v>
      </c>
      <c r="F4" s="21" t="s">
        <v>268</v>
      </c>
      <c r="G4" s="21" t="s">
        <v>72</v>
      </c>
      <c r="H4" s="21" t="s">
        <v>269</v>
      </c>
      <c r="I4" s="21" t="s">
        <v>76</v>
      </c>
      <c r="J4" s="21" t="s">
        <v>270</v>
      </c>
      <c r="K4" s="21" t="s">
        <v>271</v>
      </c>
      <c r="L4" s="21" t="s">
        <v>140</v>
      </c>
      <c r="M4" s="21" t="s">
        <v>141</v>
      </c>
      <c r="N4" s="98" t="s">
        <v>86</v>
      </c>
      <c r="O4" s="98" t="s">
        <v>87</v>
      </c>
      <c r="P4" s="98" t="s">
        <v>272</v>
      </c>
    </row>
    <row r="5" customFormat="false" ht="15.75" hidden="false" customHeight="true" outlineLevel="0" collapsed="false">
      <c r="A5" s="115" t="s">
        <v>273</v>
      </c>
      <c r="B5" s="116"/>
      <c r="C5" s="115" t="s">
        <v>64</v>
      </c>
      <c r="D5" s="115" t="n">
        <v>2</v>
      </c>
      <c r="E5" s="115" t="n">
        <v>3</v>
      </c>
      <c r="F5" s="115" t="n">
        <v>2</v>
      </c>
      <c r="G5" s="115" t="n">
        <v>2</v>
      </c>
      <c r="H5" s="115" t="s">
        <v>64</v>
      </c>
      <c r="I5" s="115" t="n">
        <v>3</v>
      </c>
      <c r="J5" s="115" t="n">
        <v>2</v>
      </c>
      <c r="K5" s="115" t="n">
        <v>3</v>
      </c>
      <c r="L5" s="115" t="n">
        <v>2</v>
      </c>
      <c r="M5" s="115" t="s">
        <v>64</v>
      </c>
      <c r="N5" s="116"/>
      <c r="O5" s="116"/>
      <c r="P5" s="116"/>
    </row>
    <row r="6" customFormat="false" ht="15" hidden="false" customHeight="true" outlineLevel="0" collapsed="false">
      <c r="A6" s="117" t="n">
        <v>46118</v>
      </c>
      <c r="B6" s="118" t="s">
        <v>274</v>
      </c>
      <c r="C6" s="118" t="n">
        <v>4</v>
      </c>
      <c r="D6" s="118" t="n">
        <v>2</v>
      </c>
      <c r="E6" s="118" t="n">
        <v>2</v>
      </c>
      <c r="F6" s="118" t="n">
        <v>0</v>
      </c>
      <c r="G6" s="118" t="n">
        <v>0</v>
      </c>
      <c r="H6" s="118" t="n">
        <v>0</v>
      </c>
      <c r="I6" s="118" t="n">
        <v>1</v>
      </c>
      <c r="J6" s="118" t="n">
        <v>2</v>
      </c>
      <c r="K6" s="118" t="n">
        <v>2</v>
      </c>
      <c r="L6" s="118" t="n">
        <v>0</v>
      </c>
      <c r="M6" s="118" t="n">
        <v>0</v>
      </c>
      <c r="N6" s="28" t="n">
        <f aca="false">SUM(C6:G6)</f>
        <v>8</v>
      </c>
      <c r="O6" s="71" t="n">
        <f aca="false">SUM(H6:K6)</f>
        <v>5</v>
      </c>
      <c r="P6" s="61" t="n">
        <f aca="false">N6+O6+L6</f>
        <v>13</v>
      </c>
    </row>
    <row r="7" customFormat="false" ht="15" hidden="false" customHeight="true" outlineLevel="0" collapsed="false">
      <c r="A7" s="119" t="n">
        <v>46119</v>
      </c>
      <c r="B7" s="120" t="s">
        <v>275</v>
      </c>
      <c r="C7" s="120" t="n">
        <v>3</v>
      </c>
      <c r="D7" s="120" t="n">
        <v>0</v>
      </c>
      <c r="E7" s="120" t="n">
        <v>3</v>
      </c>
      <c r="F7" s="120" t="n">
        <v>1</v>
      </c>
      <c r="G7" s="120" t="n">
        <v>2</v>
      </c>
      <c r="H7" s="120" t="n">
        <v>1</v>
      </c>
      <c r="I7" s="120" t="n">
        <v>2</v>
      </c>
      <c r="J7" s="120" t="n">
        <v>1</v>
      </c>
      <c r="K7" s="120" t="n">
        <v>3</v>
      </c>
      <c r="L7" s="120" t="n">
        <v>0</v>
      </c>
      <c r="M7" s="120" t="n">
        <v>2</v>
      </c>
      <c r="N7" s="55" t="n">
        <f aca="false">SUM(C7:G7)</f>
        <v>9</v>
      </c>
      <c r="O7" s="121" t="n">
        <f aca="false">SUM(H7:K7)</f>
        <v>7</v>
      </c>
      <c r="P7" s="57" t="n">
        <f aca="false">N7+O7+L7</f>
        <v>16</v>
      </c>
    </row>
    <row r="8" customFormat="false" ht="15" hidden="false" customHeight="true" outlineLevel="0" collapsed="false">
      <c r="A8" s="117" t="n">
        <v>46120</v>
      </c>
      <c r="B8" s="118" t="s">
        <v>276</v>
      </c>
      <c r="C8" s="118" t="n">
        <v>3</v>
      </c>
      <c r="D8" s="118" t="n">
        <v>2</v>
      </c>
      <c r="E8" s="118" t="n">
        <v>3</v>
      </c>
      <c r="F8" s="118" t="n">
        <v>1</v>
      </c>
      <c r="G8" s="118" t="n">
        <v>2</v>
      </c>
      <c r="H8" s="118" t="n">
        <v>2</v>
      </c>
      <c r="I8" s="118" t="n">
        <v>2</v>
      </c>
      <c r="J8" s="118" t="n">
        <v>0</v>
      </c>
      <c r="K8" s="118" t="n">
        <v>1</v>
      </c>
      <c r="L8" s="118" t="n">
        <v>2</v>
      </c>
      <c r="M8" s="118" t="n">
        <v>4</v>
      </c>
      <c r="N8" s="28" t="n">
        <f aca="false">SUM(C8:G8)</f>
        <v>11</v>
      </c>
      <c r="O8" s="71" t="n">
        <f aca="false">SUM(H8:K8)</f>
        <v>5</v>
      </c>
      <c r="P8" s="44" t="n">
        <f aca="false">N8+O8+L8</f>
        <v>18</v>
      </c>
    </row>
    <row r="9" customFormat="false" ht="15" hidden="false" customHeight="true" outlineLevel="0" collapsed="false">
      <c r="A9" s="119" t="n">
        <v>46121</v>
      </c>
      <c r="B9" s="120" t="s">
        <v>277</v>
      </c>
      <c r="C9" s="120" t="n">
        <v>2</v>
      </c>
      <c r="D9" s="120" t="n">
        <v>0</v>
      </c>
      <c r="E9" s="120" t="n">
        <v>1</v>
      </c>
      <c r="F9" s="120" t="n">
        <v>1</v>
      </c>
      <c r="G9" s="120" t="n">
        <v>2</v>
      </c>
      <c r="H9" s="120" t="n">
        <v>2</v>
      </c>
      <c r="I9" s="120" t="n">
        <v>3</v>
      </c>
      <c r="J9" s="120" t="n">
        <v>2</v>
      </c>
      <c r="K9" s="120" t="n">
        <v>1</v>
      </c>
      <c r="L9" s="120" t="n">
        <v>0</v>
      </c>
      <c r="M9" s="120" t="n">
        <v>6</v>
      </c>
      <c r="N9" s="55" t="n">
        <f aca="false">SUM(C9:G9)</f>
        <v>6</v>
      </c>
      <c r="O9" s="121" t="n">
        <f aca="false">SUM(H9:K9)</f>
        <v>8</v>
      </c>
      <c r="P9" s="50" t="n">
        <f aca="false">N9+O9+L9</f>
        <v>14</v>
      </c>
    </row>
    <row r="10" customFormat="false" ht="15" hidden="false" customHeight="true" outlineLevel="0" collapsed="false">
      <c r="A10" s="117" t="n">
        <v>46122</v>
      </c>
      <c r="B10" s="118" t="s">
        <v>278</v>
      </c>
      <c r="C10" s="118" t="n">
        <v>2</v>
      </c>
      <c r="D10" s="118" t="n">
        <v>0</v>
      </c>
      <c r="E10" s="118" t="n">
        <v>3</v>
      </c>
      <c r="F10" s="118" t="n">
        <v>1</v>
      </c>
      <c r="G10" s="118" t="n">
        <v>0</v>
      </c>
      <c r="H10" s="118" t="n">
        <v>1</v>
      </c>
      <c r="I10" s="118" t="n">
        <v>1</v>
      </c>
      <c r="J10" s="118" t="n">
        <v>2</v>
      </c>
      <c r="K10" s="118" t="n">
        <v>1</v>
      </c>
      <c r="L10" s="118" t="n">
        <v>2</v>
      </c>
      <c r="M10" s="118" t="n">
        <v>8</v>
      </c>
      <c r="N10" s="28" t="n">
        <f aca="false">SUM(C10:G10)</f>
        <v>6</v>
      </c>
      <c r="O10" s="71" t="n">
        <f aca="false">SUM(H10:K10)</f>
        <v>5</v>
      </c>
      <c r="P10" s="44" t="n">
        <f aca="false">N10+O10+L10</f>
        <v>13</v>
      </c>
    </row>
    <row r="11" customFormat="false" ht="15" hidden="false" customHeight="true" outlineLevel="0" collapsed="false">
      <c r="A11" s="119" t="n">
        <v>46125</v>
      </c>
      <c r="B11" s="120" t="s">
        <v>274</v>
      </c>
      <c r="C11" s="120" t="n">
        <v>3</v>
      </c>
      <c r="D11" s="120" t="n">
        <v>1</v>
      </c>
      <c r="E11" s="120" t="n">
        <v>3</v>
      </c>
      <c r="F11" s="120" t="n">
        <v>1</v>
      </c>
      <c r="G11" s="120" t="n">
        <v>1</v>
      </c>
      <c r="H11" s="120" t="n">
        <v>0</v>
      </c>
      <c r="I11" s="120" t="n">
        <v>2</v>
      </c>
      <c r="J11" s="120" t="n">
        <v>2</v>
      </c>
      <c r="K11" s="120" t="n">
        <v>2</v>
      </c>
      <c r="L11" s="120" t="n">
        <v>1</v>
      </c>
      <c r="M11" s="120" t="n">
        <v>10</v>
      </c>
      <c r="N11" s="55" t="n">
        <f aca="false">SUM(C11:G11)</f>
        <v>9</v>
      </c>
      <c r="O11" s="121" t="n">
        <f aca="false">SUM(H11:K11)</f>
        <v>6</v>
      </c>
      <c r="P11" s="57" t="n">
        <f aca="false">N11+O11+L11</f>
        <v>16</v>
      </c>
    </row>
    <row r="12" customFormat="false" ht="15" hidden="false" customHeight="true" outlineLevel="0" collapsed="false">
      <c r="A12" s="117" t="n">
        <v>46126</v>
      </c>
      <c r="B12" s="118" t="s">
        <v>275</v>
      </c>
      <c r="C12" s="118" t="n">
        <v>3</v>
      </c>
      <c r="D12" s="118" t="n">
        <v>1</v>
      </c>
      <c r="E12" s="118" t="n">
        <v>1</v>
      </c>
      <c r="F12" s="118" t="n">
        <v>0</v>
      </c>
      <c r="G12" s="118" t="n">
        <v>0</v>
      </c>
      <c r="H12" s="118" t="n">
        <v>2</v>
      </c>
      <c r="I12" s="118" t="n">
        <v>1</v>
      </c>
      <c r="J12" s="118" t="n">
        <v>1</v>
      </c>
      <c r="K12" s="118" t="n">
        <v>2</v>
      </c>
      <c r="L12" s="118" t="n">
        <v>1</v>
      </c>
      <c r="M12" s="118" t="n">
        <v>12</v>
      </c>
      <c r="N12" s="28" t="n">
        <f aca="false">SUM(C12:G12)</f>
        <v>5</v>
      </c>
      <c r="O12" s="71" t="n">
        <f aca="false">SUM(H12:K12)</f>
        <v>6</v>
      </c>
      <c r="P12" s="61" t="n">
        <f aca="false">N12+O12+L12</f>
        <v>12</v>
      </c>
    </row>
    <row r="13" customFormat="false" ht="15" hidden="false" customHeight="true" outlineLevel="0" collapsed="false">
      <c r="A13" s="119" t="n">
        <v>46127</v>
      </c>
      <c r="B13" s="120" t="s">
        <v>276</v>
      </c>
      <c r="C13" s="120" t="n">
        <v>1</v>
      </c>
      <c r="D13" s="120" t="n">
        <v>2</v>
      </c>
      <c r="E13" s="120" t="n">
        <v>3</v>
      </c>
      <c r="F13" s="120" t="n">
        <v>2</v>
      </c>
      <c r="G13" s="120" t="n">
        <v>1</v>
      </c>
      <c r="H13" s="120" t="n">
        <v>1</v>
      </c>
      <c r="I13" s="120" t="n">
        <v>3</v>
      </c>
      <c r="J13" s="120" t="n">
        <v>0</v>
      </c>
      <c r="K13" s="120" t="n">
        <v>2</v>
      </c>
      <c r="L13" s="120" t="n">
        <v>1</v>
      </c>
      <c r="M13" s="120" t="n">
        <v>14</v>
      </c>
      <c r="N13" s="55" t="n">
        <f aca="false">SUM(C13:G13)</f>
        <v>9</v>
      </c>
      <c r="O13" s="121" t="n">
        <f aca="false">SUM(H13:K13)</f>
        <v>6</v>
      </c>
      <c r="P13" s="57" t="n">
        <f aca="false">N13+O13+L13</f>
        <v>16</v>
      </c>
    </row>
    <row r="14" customFormat="false" ht="15" hidden="false" customHeight="true" outlineLevel="0" collapsed="false">
      <c r="A14" s="117" t="n">
        <v>46128</v>
      </c>
      <c r="B14" s="118" t="s">
        <v>277</v>
      </c>
      <c r="C14" s="118" t="n">
        <v>3</v>
      </c>
      <c r="D14" s="118" t="n">
        <v>2</v>
      </c>
      <c r="E14" s="118" t="n">
        <v>3</v>
      </c>
      <c r="F14" s="118" t="n">
        <v>2</v>
      </c>
      <c r="G14" s="118" t="n">
        <v>0</v>
      </c>
      <c r="H14" s="118" t="n">
        <v>1</v>
      </c>
      <c r="I14" s="118" t="n">
        <v>2</v>
      </c>
      <c r="J14" s="118" t="n">
        <v>0</v>
      </c>
      <c r="K14" s="118" t="n">
        <v>1</v>
      </c>
      <c r="L14" s="118" t="n">
        <v>2</v>
      </c>
      <c r="M14" s="118" t="n">
        <v>16</v>
      </c>
      <c r="N14" s="28" t="n">
        <f aca="false">SUM(C14:G14)</f>
        <v>10</v>
      </c>
      <c r="O14" s="71" t="n">
        <f aca="false">SUM(H14:K14)</f>
        <v>4</v>
      </c>
      <c r="P14" s="44" t="n">
        <f aca="false">N14+O14+L14</f>
        <v>16</v>
      </c>
    </row>
    <row r="15" customFormat="false" ht="15" hidden="false" customHeight="true" outlineLevel="0" collapsed="false">
      <c r="A15" s="119" t="n">
        <v>46129</v>
      </c>
      <c r="B15" s="120" t="s">
        <v>278</v>
      </c>
      <c r="C15" s="120" t="n">
        <v>1</v>
      </c>
      <c r="D15" s="120" t="n">
        <v>0</v>
      </c>
      <c r="E15" s="120" t="n">
        <v>3</v>
      </c>
      <c r="F15" s="120" t="n">
        <v>1</v>
      </c>
      <c r="G15" s="120" t="n">
        <v>2</v>
      </c>
      <c r="H15" s="120" t="n">
        <v>0</v>
      </c>
      <c r="I15" s="120" t="n">
        <v>2</v>
      </c>
      <c r="J15" s="120" t="n">
        <v>2</v>
      </c>
      <c r="K15" s="120" t="n">
        <v>3</v>
      </c>
      <c r="L15" s="120" t="n">
        <v>1</v>
      </c>
      <c r="M15" s="120" t="n">
        <v>18</v>
      </c>
      <c r="N15" s="55" t="n">
        <f aca="false">SUM(C15:G15)</f>
        <v>7</v>
      </c>
      <c r="O15" s="121" t="n">
        <f aca="false">SUM(H15:K15)</f>
        <v>7</v>
      </c>
      <c r="P15" s="50" t="n">
        <f aca="false">N15+O15+L15</f>
        <v>15</v>
      </c>
    </row>
    <row r="16" customFormat="false" ht="15" hidden="false" customHeight="true" outlineLevel="0" collapsed="false">
      <c r="A16" s="117" t="n">
        <v>46132</v>
      </c>
      <c r="B16" s="118" t="s">
        <v>274</v>
      </c>
      <c r="C16" s="118" t="n">
        <v>4</v>
      </c>
      <c r="D16" s="118" t="n">
        <v>2</v>
      </c>
      <c r="E16" s="118" t="n">
        <v>1</v>
      </c>
      <c r="F16" s="118" t="n">
        <v>0</v>
      </c>
      <c r="G16" s="118" t="n">
        <v>1</v>
      </c>
      <c r="H16" s="118" t="n">
        <v>0</v>
      </c>
      <c r="I16" s="118" t="n">
        <v>1</v>
      </c>
      <c r="J16" s="118" t="n">
        <v>0</v>
      </c>
      <c r="K16" s="118" t="n">
        <v>2</v>
      </c>
      <c r="L16" s="118" t="n">
        <v>0</v>
      </c>
      <c r="M16" s="118" t="n">
        <v>20</v>
      </c>
      <c r="N16" s="28" t="n">
        <f aca="false">SUM(C16:G16)</f>
        <v>8</v>
      </c>
      <c r="O16" s="71" t="n">
        <f aca="false">SUM(H16:K16)</f>
        <v>3</v>
      </c>
      <c r="P16" s="44" t="n">
        <f aca="false">N16+O16+L16</f>
        <v>11</v>
      </c>
    </row>
    <row r="17" customFormat="false" ht="15" hidden="false" customHeight="true" outlineLevel="0" collapsed="false">
      <c r="A17" s="119" t="n">
        <v>46133</v>
      </c>
      <c r="B17" s="120" t="s">
        <v>275</v>
      </c>
      <c r="C17" s="120" t="n">
        <v>2</v>
      </c>
      <c r="D17" s="120" t="n">
        <v>2</v>
      </c>
      <c r="E17" s="120" t="n">
        <v>2</v>
      </c>
      <c r="F17" s="120" t="n">
        <v>0</v>
      </c>
      <c r="G17" s="120" t="n">
        <v>0</v>
      </c>
      <c r="H17" s="120" t="n">
        <v>2</v>
      </c>
      <c r="I17" s="120" t="n">
        <v>1</v>
      </c>
      <c r="J17" s="120" t="n">
        <v>2</v>
      </c>
      <c r="K17" s="120" t="n">
        <v>3</v>
      </c>
      <c r="L17" s="120" t="n">
        <v>0</v>
      </c>
      <c r="M17" s="120" t="n">
        <v>22</v>
      </c>
      <c r="N17" s="55" t="n">
        <f aca="false">SUM(C17:G17)</f>
        <v>6</v>
      </c>
      <c r="O17" s="121" t="n">
        <f aca="false">SUM(H17:K17)</f>
        <v>8</v>
      </c>
      <c r="P17" s="57" t="n">
        <f aca="false">N17+O17+L17</f>
        <v>14</v>
      </c>
    </row>
    <row r="18" customFormat="false" ht="15" hidden="false" customHeight="true" outlineLevel="0" collapsed="false">
      <c r="A18" s="117" t="n">
        <v>46134</v>
      </c>
      <c r="B18" s="118" t="s">
        <v>276</v>
      </c>
      <c r="C18" s="118" t="n">
        <v>3</v>
      </c>
      <c r="D18" s="118" t="n">
        <v>2</v>
      </c>
      <c r="E18" s="118" t="n">
        <v>1</v>
      </c>
      <c r="F18" s="118" t="n">
        <v>1</v>
      </c>
      <c r="G18" s="118" t="n">
        <v>1</v>
      </c>
      <c r="H18" s="118" t="n">
        <v>0</v>
      </c>
      <c r="I18" s="118" t="n">
        <v>2</v>
      </c>
      <c r="J18" s="118" t="n">
        <v>2</v>
      </c>
      <c r="K18" s="118" t="n">
        <v>2</v>
      </c>
      <c r="L18" s="118" t="n">
        <v>2</v>
      </c>
      <c r="M18" s="118" t="n">
        <v>24</v>
      </c>
      <c r="N18" s="28" t="n">
        <f aca="false">SUM(C18:G18)</f>
        <v>8</v>
      </c>
      <c r="O18" s="71" t="n">
        <f aca="false">SUM(H18:K18)</f>
        <v>6</v>
      </c>
      <c r="P18" s="61" t="n">
        <f aca="false">N18+O18+L18</f>
        <v>16</v>
      </c>
    </row>
    <row r="19" customFormat="false" ht="15" hidden="false" customHeight="true" outlineLevel="0" collapsed="false">
      <c r="A19" s="119" t="n">
        <v>46135</v>
      </c>
      <c r="B19" s="120" t="s">
        <v>277</v>
      </c>
      <c r="C19" s="120" t="n">
        <v>2</v>
      </c>
      <c r="D19" s="120" t="n">
        <v>1</v>
      </c>
      <c r="E19" s="120" t="n">
        <v>1</v>
      </c>
      <c r="F19" s="120" t="n">
        <v>2</v>
      </c>
      <c r="G19" s="120" t="n">
        <v>1</v>
      </c>
      <c r="H19" s="120" t="n">
        <v>1</v>
      </c>
      <c r="I19" s="120" t="n">
        <v>1</v>
      </c>
      <c r="J19" s="120" t="n">
        <v>1</v>
      </c>
      <c r="K19" s="120" t="n">
        <v>1</v>
      </c>
      <c r="L19" s="120" t="n">
        <v>2</v>
      </c>
      <c r="M19" s="120" t="n">
        <v>26</v>
      </c>
      <c r="N19" s="55" t="n">
        <f aca="false">SUM(C19:G19)</f>
        <v>7</v>
      </c>
      <c r="O19" s="121" t="n">
        <f aca="false">SUM(H19:K19)</f>
        <v>4</v>
      </c>
      <c r="P19" s="57" t="n">
        <f aca="false">N19+O19+L19</f>
        <v>13</v>
      </c>
    </row>
    <row r="20" customFormat="false" ht="15" hidden="false" customHeight="true" outlineLevel="0" collapsed="false">
      <c r="A20" s="117" t="n">
        <v>46136</v>
      </c>
      <c r="B20" s="118" t="s">
        <v>278</v>
      </c>
      <c r="C20" s="118" t="n">
        <v>2</v>
      </c>
      <c r="D20" s="118" t="n">
        <v>1</v>
      </c>
      <c r="E20" s="118" t="n">
        <v>1</v>
      </c>
      <c r="F20" s="118" t="n">
        <v>0</v>
      </c>
      <c r="G20" s="118" t="n">
        <v>2</v>
      </c>
      <c r="H20" s="118" t="n">
        <v>1</v>
      </c>
      <c r="I20" s="118" t="n">
        <v>3</v>
      </c>
      <c r="J20" s="118" t="n">
        <v>1</v>
      </c>
      <c r="K20" s="118" t="n">
        <v>2</v>
      </c>
      <c r="L20" s="118" t="n">
        <v>2</v>
      </c>
      <c r="M20" s="118" t="n">
        <v>28</v>
      </c>
      <c r="N20" s="28" t="n">
        <f aca="false">SUM(C20:G20)</f>
        <v>6</v>
      </c>
      <c r="O20" s="71" t="n">
        <f aca="false">SUM(H20:K20)</f>
        <v>7</v>
      </c>
      <c r="P20" s="44" t="n">
        <f aca="false">N20+O20+L20</f>
        <v>15</v>
      </c>
    </row>
    <row r="21" customFormat="false" ht="15" hidden="false" customHeight="true" outlineLevel="0" collapsed="false">
      <c r="A21" s="119" t="n">
        <v>46139</v>
      </c>
      <c r="B21" s="120" t="s">
        <v>274</v>
      </c>
      <c r="C21" s="120" t="n">
        <v>1</v>
      </c>
      <c r="D21" s="120" t="n">
        <v>1</v>
      </c>
      <c r="E21" s="120" t="n">
        <v>1</v>
      </c>
      <c r="F21" s="120" t="n">
        <v>1</v>
      </c>
      <c r="G21" s="120" t="n">
        <v>2</v>
      </c>
      <c r="H21" s="120" t="n">
        <v>0</v>
      </c>
      <c r="I21" s="120" t="n">
        <v>3</v>
      </c>
      <c r="J21" s="120" t="n">
        <v>1</v>
      </c>
      <c r="K21" s="120" t="n">
        <v>1</v>
      </c>
      <c r="L21" s="120" t="n">
        <v>1</v>
      </c>
      <c r="M21" s="120" t="n">
        <v>30</v>
      </c>
      <c r="N21" s="55" t="n">
        <f aca="false">SUM(C21:G21)</f>
        <v>6</v>
      </c>
      <c r="O21" s="121" t="n">
        <f aca="false">SUM(H21:K21)</f>
        <v>5</v>
      </c>
      <c r="P21" s="50" t="n">
        <f aca="false">N21+O21+L21</f>
        <v>12</v>
      </c>
    </row>
    <row r="22" customFormat="false" ht="15" hidden="false" customHeight="true" outlineLevel="0" collapsed="false">
      <c r="A22" s="117" t="n">
        <v>46140</v>
      </c>
      <c r="B22" s="118" t="s">
        <v>275</v>
      </c>
      <c r="C22" s="118" t="n">
        <v>2</v>
      </c>
      <c r="D22" s="118" t="n">
        <v>2</v>
      </c>
      <c r="E22" s="118" t="n">
        <v>2</v>
      </c>
      <c r="F22" s="118" t="n">
        <v>1</v>
      </c>
      <c r="G22" s="118" t="n">
        <v>1</v>
      </c>
      <c r="H22" s="118" t="n">
        <v>2</v>
      </c>
      <c r="I22" s="118" t="n">
        <v>3</v>
      </c>
      <c r="J22" s="118" t="n">
        <v>0</v>
      </c>
      <c r="K22" s="118" t="n">
        <v>2</v>
      </c>
      <c r="L22" s="118" t="n">
        <v>2</v>
      </c>
      <c r="M22" s="118" t="n">
        <v>32</v>
      </c>
      <c r="N22" s="28" t="n">
        <f aca="false">SUM(C22:G22)</f>
        <v>8</v>
      </c>
      <c r="O22" s="71" t="n">
        <f aca="false">SUM(H22:K22)</f>
        <v>7</v>
      </c>
      <c r="P22" s="44" t="n">
        <f aca="false">N22+O22+L22</f>
        <v>17</v>
      </c>
    </row>
    <row r="23" customFormat="false" ht="15" hidden="false" customHeight="true" outlineLevel="0" collapsed="false">
      <c r="A23" s="119" t="n">
        <v>46141</v>
      </c>
      <c r="B23" s="120" t="s">
        <v>276</v>
      </c>
      <c r="C23" s="120" t="n">
        <v>2</v>
      </c>
      <c r="D23" s="120" t="n">
        <v>2</v>
      </c>
      <c r="E23" s="120" t="n">
        <v>1</v>
      </c>
      <c r="F23" s="120" t="n">
        <v>2</v>
      </c>
      <c r="G23" s="120" t="n">
        <v>1</v>
      </c>
      <c r="H23" s="120" t="n">
        <v>0</v>
      </c>
      <c r="I23" s="120" t="n">
        <v>3</v>
      </c>
      <c r="J23" s="120" t="n">
        <v>0</v>
      </c>
      <c r="K23" s="120" t="n">
        <v>3</v>
      </c>
      <c r="L23" s="120" t="n">
        <v>0</v>
      </c>
      <c r="M23" s="120" t="n">
        <v>34</v>
      </c>
      <c r="N23" s="55" t="n">
        <f aca="false">SUM(C23:G23)</f>
        <v>8</v>
      </c>
      <c r="O23" s="121" t="n">
        <f aca="false">SUM(H23:K23)</f>
        <v>6</v>
      </c>
      <c r="P23" s="57" t="n">
        <f aca="false">N23+O23+L23</f>
        <v>14</v>
      </c>
    </row>
    <row r="24" customFormat="false" ht="15" hidden="false" customHeight="true" outlineLevel="0" collapsed="false">
      <c r="A24" s="117" t="n">
        <v>46142</v>
      </c>
      <c r="B24" s="118" t="s">
        <v>277</v>
      </c>
      <c r="C24" s="118" t="n">
        <v>4</v>
      </c>
      <c r="D24" s="118" t="n">
        <v>1</v>
      </c>
      <c r="E24" s="118" t="n">
        <v>1</v>
      </c>
      <c r="F24" s="118" t="n">
        <v>0</v>
      </c>
      <c r="G24" s="118" t="n">
        <v>1</v>
      </c>
      <c r="H24" s="118" t="n">
        <v>1</v>
      </c>
      <c r="I24" s="118" t="n">
        <v>1</v>
      </c>
      <c r="J24" s="118" t="n">
        <v>0</v>
      </c>
      <c r="K24" s="118" t="n">
        <v>1</v>
      </c>
      <c r="L24" s="118" t="n">
        <v>0</v>
      </c>
      <c r="M24" s="118" t="n">
        <v>36</v>
      </c>
      <c r="N24" s="28" t="n">
        <f aca="false">SUM(C24:G24)</f>
        <v>7</v>
      </c>
      <c r="O24" s="71" t="n">
        <f aca="false">SUM(H24:K24)</f>
        <v>3</v>
      </c>
      <c r="P24" s="61" t="n">
        <f aca="false">N24+O24+L24</f>
        <v>10</v>
      </c>
    </row>
    <row r="25" customFormat="false" ht="15" hidden="false" customHeight="true" outlineLevel="0" collapsed="false">
      <c r="A25" s="119" t="n">
        <v>46143</v>
      </c>
      <c r="B25" s="120" t="s">
        <v>278</v>
      </c>
      <c r="C25" s="120" t="n">
        <v>3</v>
      </c>
      <c r="D25" s="120" t="n">
        <v>0</v>
      </c>
      <c r="E25" s="120" t="n">
        <v>3</v>
      </c>
      <c r="F25" s="120" t="n">
        <v>1</v>
      </c>
      <c r="G25" s="120" t="n">
        <v>1</v>
      </c>
      <c r="H25" s="120" t="n">
        <v>0</v>
      </c>
      <c r="I25" s="120" t="n">
        <v>2</v>
      </c>
      <c r="J25" s="120" t="n">
        <v>0</v>
      </c>
      <c r="K25" s="120" t="n">
        <v>1</v>
      </c>
      <c r="L25" s="120" t="n">
        <v>0</v>
      </c>
      <c r="M25" s="120" t="n">
        <v>36</v>
      </c>
      <c r="N25" s="55" t="n">
        <f aca="false">SUM(C25:G25)</f>
        <v>8</v>
      </c>
      <c r="O25" s="121" t="n">
        <f aca="false">SUM(H25:K25)</f>
        <v>3</v>
      </c>
      <c r="P25" s="57" t="n">
        <f aca="false">N25+O25+L25</f>
        <v>11</v>
      </c>
    </row>
    <row r="26" customFormat="false" ht="15" hidden="false" customHeight="true" outlineLevel="0" collapsed="false">
      <c r="A26" s="117" t="n">
        <v>46146</v>
      </c>
      <c r="B26" s="118" t="s">
        <v>274</v>
      </c>
      <c r="C26" s="118" t="n">
        <v>1</v>
      </c>
      <c r="D26" s="118" t="n">
        <v>1</v>
      </c>
      <c r="E26" s="118" t="n">
        <v>3</v>
      </c>
      <c r="F26" s="118" t="n">
        <v>2</v>
      </c>
      <c r="G26" s="118" t="n">
        <v>0</v>
      </c>
      <c r="H26" s="118" t="n">
        <v>1</v>
      </c>
      <c r="I26" s="118" t="n">
        <v>3</v>
      </c>
      <c r="J26" s="118" t="n">
        <v>1</v>
      </c>
      <c r="K26" s="118" t="n">
        <v>3</v>
      </c>
      <c r="L26" s="118" t="n">
        <v>2</v>
      </c>
      <c r="M26" s="118" t="n">
        <v>36</v>
      </c>
      <c r="N26" s="28" t="n">
        <f aca="false">SUM(C26:G26)</f>
        <v>7</v>
      </c>
      <c r="O26" s="71" t="n">
        <f aca="false">SUM(H26:K26)</f>
        <v>8</v>
      </c>
      <c r="P26" s="44" t="n">
        <f aca="false">N26+O26+L26</f>
        <v>17</v>
      </c>
    </row>
    <row r="27" customFormat="false" ht="15" hidden="false" customHeight="true" outlineLevel="0" collapsed="false">
      <c r="A27" s="119" t="n">
        <v>46147</v>
      </c>
      <c r="B27" s="120" t="s">
        <v>275</v>
      </c>
      <c r="C27" s="120" t="n">
        <v>1</v>
      </c>
      <c r="D27" s="120" t="n">
        <v>0</v>
      </c>
      <c r="E27" s="120" t="n">
        <v>3</v>
      </c>
      <c r="F27" s="120" t="n">
        <v>2</v>
      </c>
      <c r="G27" s="120" t="n">
        <v>1</v>
      </c>
      <c r="H27" s="120" t="n">
        <v>0</v>
      </c>
      <c r="I27" s="120" t="n">
        <v>2</v>
      </c>
      <c r="J27" s="120" t="n">
        <v>0</v>
      </c>
      <c r="K27" s="120" t="n">
        <v>1</v>
      </c>
      <c r="L27" s="120" t="n">
        <v>2</v>
      </c>
      <c r="M27" s="120" t="n">
        <v>36</v>
      </c>
      <c r="N27" s="55" t="n">
        <f aca="false">SUM(C27:G27)</f>
        <v>7</v>
      </c>
      <c r="O27" s="121" t="n">
        <f aca="false">SUM(H27:K27)</f>
        <v>3</v>
      </c>
      <c r="P27" s="50" t="n">
        <f aca="false">N27+O27+L27</f>
        <v>12</v>
      </c>
    </row>
    <row r="28" customFormat="false" ht="15" hidden="false" customHeight="true" outlineLevel="0" collapsed="false">
      <c r="A28" s="117" t="n">
        <v>46148</v>
      </c>
      <c r="B28" s="118" t="s">
        <v>276</v>
      </c>
      <c r="C28" s="118" t="n">
        <v>1</v>
      </c>
      <c r="D28" s="118" t="n">
        <v>1</v>
      </c>
      <c r="E28" s="118" t="n">
        <v>1</v>
      </c>
      <c r="F28" s="118" t="n">
        <v>0</v>
      </c>
      <c r="G28" s="118" t="n">
        <v>1</v>
      </c>
      <c r="H28" s="118" t="n">
        <v>2</v>
      </c>
      <c r="I28" s="118" t="n">
        <v>3</v>
      </c>
      <c r="J28" s="118" t="n">
        <v>0</v>
      </c>
      <c r="K28" s="118" t="n">
        <v>2</v>
      </c>
      <c r="L28" s="118" t="n">
        <v>1</v>
      </c>
      <c r="M28" s="118" t="n">
        <v>36</v>
      </c>
      <c r="N28" s="28" t="n">
        <f aca="false">SUM(C28:G28)</f>
        <v>4</v>
      </c>
      <c r="O28" s="71" t="n">
        <f aca="false">SUM(H28:K28)</f>
        <v>7</v>
      </c>
      <c r="P28" s="44" t="n">
        <f aca="false">N28+O28+L28</f>
        <v>12</v>
      </c>
    </row>
    <row r="29" customFormat="false" ht="15" hidden="false" customHeight="true" outlineLevel="0" collapsed="false">
      <c r="A29" s="119" t="n">
        <v>46149</v>
      </c>
      <c r="B29" s="120" t="s">
        <v>277</v>
      </c>
      <c r="C29" s="120" t="n">
        <v>1</v>
      </c>
      <c r="D29" s="120" t="n">
        <v>2</v>
      </c>
      <c r="E29" s="120" t="n">
        <v>3</v>
      </c>
      <c r="F29" s="120" t="n">
        <v>2</v>
      </c>
      <c r="G29" s="120" t="n">
        <v>0</v>
      </c>
      <c r="H29" s="120" t="n">
        <v>2</v>
      </c>
      <c r="I29" s="120" t="n">
        <v>3</v>
      </c>
      <c r="J29" s="120" t="n">
        <v>2</v>
      </c>
      <c r="K29" s="120" t="n">
        <v>3</v>
      </c>
      <c r="L29" s="120" t="n">
        <v>2</v>
      </c>
      <c r="M29" s="120" t="n">
        <v>36</v>
      </c>
      <c r="N29" s="55" t="n">
        <f aca="false">SUM(C29:G29)</f>
        <v>8</v>
      </c>
      <c r="O29" s="121" t="n">
        <f aca="false">SUM(H29:K29)</f>
        <v>10</v>
      </c>
      <c r="P29" s="57" t="n">
        <f aca="false">N29+O29+L29</f>
        <v>20</v>
      </c>
    </row>
    <row r="30" customFormat="false" ht="15" hidden="false" customHeight="true" outlineLevel="0" collapsed="false">
      <c r="A30" s="117" t="n">
        <v>46150</v>
      </c>
      <c r="B30" s="118" t="s">
        <v>278</v>
      </c>
      <c r="C30" s="118" t="n">
        <v>2</v>
      </c>
      <c r="D30" s="118" t="n">
        <v>1</v>
      </c>
      <c r="E30" s="118" t="n">
        <v>1</v>
      </c>
      <c r="F30" s="118" t="n">
        <v>2</v>
      </c>
      <c r="G30" s="118" t="n">
        <v>1</v>
      </c>
      <c r="H30" s="118" t="n">
        <v>0</v>
      </c>
      <c r="I30" s="118" t="n">
        <v>3</v>
      </c>
      <c r="J30" s="118" t="n">
        <v>1</v>
      </c>
      <c r="K30" s="118" t="n">
        <v>2</v>
      </c>
      <c r="L30" s="118" t="n">
        <v>0</v>
      </c>
      <c r="M30" s="118" t="n">
        <v>36</v>
      </c>
      <c r="N30" s="28" t="n">
        <f aca="false">SUM(C30:G30)</f>
        <v>7</v>
      </c>
      <c r="O30" s="71" t="n">
        <f aca="false">SUM(H30:K30)</f>
        <v>6</v>
      </c>
      <c r="P30" s="61" t="n">
        <f aca="false">N30+O30+L30</f>
        <v>13</v>
      </c>
    </row>
    <row r="32" customFormat="false" ht="15" hidden="false" customHeight="true" outlineLevel="0" collapsed="false">
      <c r="A32" s="20" t="s">
        <v>279</v>
      </c>
      <c r="B32" s="20"/>
      <c r="C32" s="20"/>
      <c r="D32" s="20"/>
      <c r="E32" s="20"/>
      <c r="F32" s="20"/>
      <c r="G32" s="20"/>
      <c r="H32" s="20"/>
    </row>
    <row r="33" customFormat="false" ht="15" hidden="false" customHeight="true" outlineLevel="0" collapsed="false">
      <c r="A33" s="33" t="s">
        <v>280</v>
      </c>
      <c r="B33" s="33"/>
      <c r="C33" s="33"/>
      <c r="D33" s="122" t="str">
        <f aca="false">IF(MAX(D6:D30)&gt;2,"⚠ VUOT — Max: "&amp;MAX(D6:D30),"OK")</f>
        <v>OK</v>
      </c>
      <c r="E33" s="122"/>
      <c r="F33" s="122"/>
      <c r="G33" s="123" t="s">
        <v>281</v>
      </c>
      <c r="H33" s="123"/>
    </row>
    <row r="34" customFormat="false" ht="15" hidden="false" customHeight="true" outlineLevel="0" collapsed="false">
      <c r="A34" s="26" t="s">
        <v>282</v>
      </c>
      <c r="B34" s="26"/>
      <c r="C34" s="26"/>
      <c r="D34" s="61" t="str">
        <f aca="false">IF(MAX(F6:F30)&gt;2,"⚠ VUOT — Max: "&amp;MAX(F6:F30),"OK")</f>
        <v>OK</v>
      </c>
      <c r="E34" s="61"/>
      <c r="F34" s="61"/>
      <c r="G34" s="41" t="s">
        <v>283</v>
      </c>
      <c r="H34" s="41"/>
    </row>
    <row r="35" customFormat="false" ht="15" hidden="false" customHeight="true" outlineLevel="0" collapsed="false">
      <c r="A35" s="33" t="s">
        <v>284</v>
      </c>
      <c r="B35" s="33"/>
      <c r="C35" s="33"/>
      <c r="D35" s="122" t="str">
        <f aca="false">IF(MAX(E6:E30)&gt;3,"⚠ VUOT — Max: "&amp;MAX(E6:E30),"OK")</f>
        <v>OK</v>
      </c>
      <c r="E35" s="122"/>
      <c r="F35" s="122"/>
      <c r="G35" s="123" t="s">
        <v>285</v>
      </c>
      <c r="H35" s="123"/>
    </row>
    <row r="36" customFormat="false" ht="15" hidden="false" customHeight="true" outlineLevel="0" collapsed="false">
      <c r="A36" s="26" t="s">
        <v>286</v>
      </c>
      <c r="B36" s="26"/>
      <c r="C36" s="26"/>
      <c r="D36" s="61" t="str">
        <f aca="false">IF(MAX(J6:J30)&gt;2,"⚠ VUOT — Max: "&amp;MAX(J6:J30),"OK")</f>
        <v>OK</v>
      </c>
      <c r="E36" s="61"/>
      <c r="F36" s="61"/>
      <c r="G36" s="41" t="s">
        <v>287</v>
      </c>
      <c r="H36" s="41"/>
    </row>
    <row r="37" customFormat="false" ht="15" hidden="false" customHeight="true" outlineLevel="0" collapsed="false">
      <c r="A37" s="33" t="s">
        <v>288</v>
      </c>
      <c r="B37" s="33"/>
      <c r="C37" s="33"/>
      <c r="D37" s="122" t="str">
        <f aca="false">IF(MAX(P6:P30)&gt;9,"⚠ VUOT — Max: "&amp;MAX(P6:P30),"OK")</f>
        <v>⚠ VUOT — Max: 20</v>
      </c>
      <c r="E37" s="122"/>
      <c r="F37" s="122"/>
      <c r="G37" s="123" t="s">
        <v>289</v>
      </c>
      <c r="H37" s="123"/>
    </row>
    <row r="38" customFormat="false" ht="15" hidden="false" customHeight="true" outlineLevel="0" collapsed="false">
      <c r="A38" s="26" t="s">
        <v>290</v>
      </c>
      <c r="B38" s="26"/>
      <c r="C38" s="26"/>
      <c r="D38" s="61" t="n">
        <f aca="false">AVERAGE(P6:P30)</f>
        <v>14.24</v>
      </c>
      <c r="E38" s="61"/>
      <c r="F38" s="61"/>
      <c r="G38" s="41" t="s">
        <v>291</v>
      </c>
      <c r="H38" s="41"/>
    </row>
  </sheetData>
  <mergeCells count="24">
    <mergeCell ref="A1:P1"/>
    <mergeCell ref="A2:P2"/>
    <mergeCell ref="C3:G3"/>
    <mergeCell ref="H3:K3"/>
    <mergeCell ref="N3:P3"/>
    <mergeCell ref="A32:H32"/>
    <mergeCell ref="A33:C33"/>
    <mergeCell ref="D33:F33"/>
    <mergeCell ref="G33:H33"/>
    <mergeCell ref="A34:C34"/>
    <mergeCell ref="D34:F34"/>
    <mergeCell ref="G34:H34"/>
    <mergeCell ref="A35:C35"/>
    <mergeCell ref="D35:F35"/>
    <mergeCell ref="G35:H35"/>
    <mergeCell ref="A36:C36"/>
    <mergeCell ref="D36:F36"/>
    <mergeCell ref="G36:H36"/>
    <mergeCell ref="A37:C37"/>
    <mergeCell ref="D37:F37"/>
    <mergeCell ref="G37:H37"/>
    <mergeCell ref="A38:C38"/>
    <mergeCell ref="D38:F38"/>
    <mergeCell ref="G38:H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S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87" width="7"/>
    <col collapsed="false" customWidth="true" hidden="false" outlineLevel="0" max="2" min="2" style="87" width="10"/>
    <col collapsed="false" customWidth="true" hidden="false" outlineLevel="0" max="5" min="3" style="87" width="9"/>
    <col collapsed="false" customWidth="true" hidden="false" outlineLevel="0" max="8" min="6" style="87" width="14"/>
    <col collapsed="false" customWidth="true" hidden="false" outlineLevel="0" max="9" min="9" style="87" width="10"/>
    <col collapsed="false" customWidth="true" hidden="false" outlineLevel="0" max="10" min="10" style="87" width="12"/>
    <col collapsed="false" customWidth="true" hidden="false" outlineLevel="0" max="11" min="11" style="87" width="10"/>
    <col collapsed="false" customWidth="true" hidden="false" outlineLevel="0" max="12" min="12" style="87" width="12"/>
    <col collapsed="false" customWidth="true" hidden="false" outlineLevel="0" max="13" min="13" style="87" width="14"/>
    <col collapsed="false" customWidth="true" hidden="false" outlineLevel="0" max="15" min="14" style="87" width="12"/>
    <col collapsed="false" customWidth="true" hidden="false" outlineLevel="0" max="17" min="16" style="87" width="10"/>
    <col collapsed="false" customWidth="true" hidden="false" outlineLevel="0" max="18" min="18" style="87" width="8"/>
    <col collapsed="false" customWidth="true" hidden="false" outlineLevel="0" max="19" min="19" style="87" width="10"/>
  </cols>
  <sheetData>
    <row r="1" customFormat="false" ht="30" hidden="false" customHeight="true" outlineLevel="0" collapsed="false">
      <c r="A1" s="88" t="s">
        <v>292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</row>
    <row r="2" customFormat="false" ht="15" hidden="false" customHeight="true" outlineLevel="0" collapsed="false">
      <c r="A2" s="124" t="s">
        <v>293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customFormat="false" ht="15" hidden="false" customHeight="true" outlineLevel="0" collapsed="false">
      <c r="A3" s="125"/>
      <c r="B3" s="125"/>
      <c r="C3" s="126" t="s">
        <v>294</v>
      </c>
      <c r="D3" s="126"/>
      <c r="E3" s="126"/>
      <c r="F3" s="127" t="s">
        <v>295</v>
      </c>
      <c r="G3" s="127"/>
      <c r="H3" s="127"/>
      <c r="I3" s="124" t="s">
        <v>296</v>
      </c>
      <c r="J3" s="124"/>
      <c r="K3" s="124"/>
      <c r="L3" s="124"/>
      <c r="M3" s="124"/>
      <c r="N3" s="124"/>
      <c r="O3" s="124"/>
      <c r="P3" s="124"/>
      <c r="Q3" s="124"/>
      <c r="R3" s="124"/>
    </row>
    <row r="4" customFormat="false" ht="23.25" hidden="false" customHeight="true" outlineLevel="0" collapsed="false">
      <c r="A4" s="21" t="s">
        <v>56</v>
      </c>
      <c r="B4" s="21" t="s">
        <v>297</v>
      </c>
      <c r="C4" s="94" t="s">
        <v>86</v>
      </c>
      <c r="D4" s="94" t="s">
        <v>87</v>
      </c>
      <c r="E4" s="94" t="s">
        <v>88</v>
      </c>
      <c r="F4" s="97" t="s">
        <v>298</v>
      </c>
      <c r="G4" s="97" t="s">
        <v>299</v>
      </c>
      <c r="H4" s="97" t="s">
        <v>300</v>
      </c>
      <c r="I4" s="98" t="s">
        <v>272</v>
      </c>
      <c r="J4" s="98" t="s">
        <v>30</v>
      </c>
      <c r="K4" s="98" t="s">
        <v>301</v>
      </c>
      <c r="L4" s="98" t="s">
        <v>302</v>
      </c>
      <c r="M4" s="98" t="s">
        <v>303</v>
      </c>
      <c r="N4" s="98" t="s">
        <v>304</v>
      </c>
      <c r="O4" s="98" t="s">
        <v>39</v>
      </c>
      <c r="P4" s="98" t="s">
        <v>305</v>
      </c>
      <c r="Q4" s="98" t="s">
        <v>306</v>
      </c>
      <c r="R4" s="98" t="s">
        <v>54</v>
      </c>
      <c r="S4" s="87" t="s">
        <v>307</v>
      </c>
    </row>
    <row r="5" customFormat="false" ht="15" hidden="false" customHeight="true" outlineLevel="0" collapsed="false">
      <c r="A5" s="42" t="s">
        <v>308</v>
      </c>
      <c r="B5" s="128" t="n">
        <v>46122</v>
      </c>
      <c r="C5" s="129" t="n">
        <v>4</v>
      </c>
      <c r="D5" s="130" t="n">
        <v>2</v>
      </c>
      <c r="E5" s="131" t="n">
        <v>0</v>
      </c>
      <c r="F5" s="132" t="n">
        <v>6</v>
      </c>
      <c r="G5" s="133" t="n">
        <v>108</v>
      </c>
      <c r="H5" s="132" t="n">
        <v>7</v>
      </c>
      <c r="I5" s="38" t="n">
        <f aca="false">C5+D5+E5</f>
        <v>6</v>
      </c>
      <c r="J5" s="61" t="n">
        <f aca="false">48-H5</f>
        <v>41</v>
      </c>
      <c r="K5" s="45" t="n">
        <f aca="false">MAX(0,48-(48/10)*1)</f>
        <v>43.2</v>
      </c>
      <c r="L5" s="46" t="n">
        <f aca="false">MAX(0,48-48*POWER(1/(10*1.2),1.3))</f>
        <v>46.1019588774946</v>
      </c>
      <c r="M5" s="134" t="n">
        <f aca="false">AVERAGE(F5:F5)</f>
        <v>6</v>
      </c>
      <c r="N5" s="118" t="n">
        <v>0</v>
      </c>
      <c r="O5" s="118" t="n">
        <f aca="false">768-SUM(G5:G5)</f>
        <v>660</v>
      </c>
      <c r="P5" s="135" t="n">
        <f aca="false">H5/48</f>
        <v>0.145833333333333</v>
      </c>
      <c r="Q5" s="136" t="n">
        <f aca="false">SUM(G5:G5)/768</f>
        <v>0.140625</v>
      </c>
      <c r="R5" s="47" t="str">
        <f aca="false">IF(J5&lt;=K5,"Nhanh",IF(J5&lt;=L5,"OK","CHAM"))</f>
        <v>Nhanh</v>
      </c>
      <c r="S5" s="87" t="n">
        <v>9</v>
      </c>
    </row>
    <row r="6" customFormat="false" ht="15" hidden="false" customHeight="true" outlineLevel="0" collapsed="false">
      <c r="A6" s="54" t="s">
        <v>309</v>
      </c>
      <c r="B6" s="137" t="n">
        <v>46129</v>
      </c>
      <c r="C6" s="129" t="n">
        <v>3</v>
      </c>
      <c r="D6" s="130" t="n">
        <v>3</v>
      </c>
      <c r="E6" s="131" t="n">
        <v>2</v>
      </c>
      <c r="F6" s="132" t="n">
        <v>7</v>
      </c>
      <c r="G6" s="133" t="n">
        <v>98</v>
      </c>
      <c r="H6" s="57" t="n">
        <f aca="false">H5+F6</f>
        <v>14</v>
      </c>
      <c r="I6" s="49" t="n">
        <f aca="false">C6+D6+E6</f>
        <v>8</v>
      </c>
      <c r="J6" s="50" t="n">
        <f aca="false">48-H6</f>
        <v>34</v>
      </c>
      <c r="K6" s="58" t="n">
        <f aca="false">MAX(0,48-(48/10)*2)</f>
        <v>38.4</v>
      </c>
      <c r="L6" s="59" t="n">
        <f aca="false">MAX(0,48-48*POWER(2/(10*1.2),1.3))</f>
        <v>43.3264745514571</v>
      </c>
      <c r="M6" s="138" t="n">
        <f aca="false">AVERAGE(F5:F6)</f>
        <v>6.5</v>
      </c>
      <c r="N6" s="51" t="n">
        <f aca="false">F6-F5</f>
        <v>1</v>
      </c>
      <c r="O6" s="120" t="n">
        <f aca="false">768-SUM(G5:G6)</f>
        <v>562</v>
      </c>
      <c r="P6" s="139" t="n">
        <f aca="false">H6/48</f>
        <v>0.291666666666667</v>
      </c>
      <c r="Q6" s="140" t="n">
        <f aca="false">SUM(G5:G6)/768</f>
        <v>0.268229166666667</v>
      </c>
      <c r="R6" s="52" t="str">
        <f aca="false">IF(J6&lt;=K6,"Nhanh",IF(J6&lt;=L6,"OK","CHAM"))</f>
        <v>Nhanh</v>
      </c>
      <c r="S6" s="87" t="n">
        <v>9</v>
      </c>
    </row>
    <row r="7" customFormat="false" ht="15" hidden="false" customHeight="true" outlineLevel="0" collapsed="false">
      <c r="A7" s="42" t="s">
        <v>310</v>
      </c>
      <c r="B7" s="128" t="n">
        <v>46136</v>
      </c>
      <c r="C7" s="129" t="n">
        <v>4</v>
      </c>
      <c r="D7" s="130" t="n">
        <v>4</v>
      </c>
      <c r="E7" s="131" t="n">
        <v>0</v>
      </c>
      <c r="F7" s="132" t="n">
        <v>7</v>
      </c>
      <c r="G7" s="133" t="n">
        <v>119</v>
      </c>
      <c r="H7" s="44" t="n">
        <f aca="false">H6+F7</f>
        <v>21</v>
      </c>
      <c r="I7" s="38" t="n">
        <f aca="false">C7+D7+E7</f>
        <v>8</v>
      </c>
      <c r="J7" s="61" t="n">
        <f aca="false">48-H7</f>
        <v>27</v>
      </c>
      <c r="K7" s="45" t="n">
        <f aca="false">MAX(0,48-(48/10)*3)</f>
        <v>33.6</v>
      </c>
      <c r="L7" s="46" t="n">
        <f aca="false">MAX(0,48-48*POWER(3/(10*1.2),1.3))</f>
        <v>40.0829525353626</v>
      </c>
      <c r="M7" s="134" t="n">
        <f aca="false">AVERAGE(F5:F7)</f>
        <v>6.66666666666667</v>
      </c>
      <c r="N7" s="62" t="n">
        <f aca="false">F7-F6</f>
        <v>0</v>
      </c>
      <c r="O7" s="118" t="n">
        <f aca="false">768-SUM(G5:G7)</f>
        <v>443</v>
      </c>
      <c r="P7" s="135" t="n">
        <f aca="false">H7/48</f>
        <v>0.4375</v>
      </c>
      <c r="Q7" s="136" t="n">
        <f aca="false">SUM(G5:G7)/768</f>
        <v>0.423177083333333</v>
      </c>
      <c r="R7" s="47" t="str">
        <f aca="false">IF(J7&lt;=K7,"Nhanh",IF(J7&lt;=L7,"OK","CHAM"))</f>
        <v>Nhanh</v>
      </c>
      <c r="S7" s="87" t="n">
        <v>9</v>
      </c>
    </row>
    <row r="8" customFormat="false" ht="15" hidden="false" customHeight="true" outlineLevel="0" collapsed="false">
      <c r="A8" s="54" t="s">
        <v>311</v>
      </c>
      <c r="B8" s="137" t="n">
        <v>46143</v>
      </c>
      <c r="C8" s="129" t="n">
        <v>4</v>
      </c>
      <c r="D8" s="130" t="n">
        <v>3</v>
      </c>
      <c r="E8" s="131" t="n">
        <v>0</v>
      </c>
      <c r="F8" s="132" t="n">
        <v>3</v>
      </c>
      <c r="G8" s="133" t="n">
        <v>51</v>
      </c>
      <c r="H8" s="57" t="n">
        <f aca="false">H7+F8</f>
        <v>24</v>
      </c>
      <c r="I8" s="49" t="n">
        <f aca="false">C8+D8+E8</f>
        <v>7</v>
      </c>
      <c r="J8" s="50" t="n">
        <f aca="false">48-H8</f>
        <v>24</v>
      </c>
      <c r="K8" s="58" t="n">
        <f aca="false">MAX(0,48-(48/10)*4)</f>
        <v>28.8</v>
      </c>
      <c r="L8" s="59" t="n">
        <f aca="false">MAX(0,48-48*POWER(4/(10*1.2),1.3))</f>
        <v>36.4924305068022</v>
      </c>
      <c r="M8" s="138" t="n">
        <f aca="false">AVERAGE(F5:F8)</f>
        <v>5.75</v>
      </c>
      <c r="N8" s="51" t="n">
        <f aca="false">F8-F7</f>
        <v>-4</v>
      </c>
      <c r="O8" s="120" t="n">
        <f aca="false">768-SUM(G5:G8)</f>
        <v>392</v>
      </c>
      <c r="P8" s="139" t="n">
        <f aca="false">H8/48</f>
        <v>0.5</v>
      </c>
      <c r="Q8" s="140" t="n">
        <f aca="false">SUM(G5:G8)/768</f>
        <v>0.489583333333333</v>
      </c>
      <c r="R8" s="52" t="str">
        <f aca="false">IF(J8&lt;=K8,"Nhanh",IF(J8&lt;=L8,"OK","CHAM"))</f>
        <v>Nhanh</v>
      </c>
      <c r="S8" s="87" t="n">
        <v>9</v>
      </c>
    </row>
    <row r="9" customFormat="false" ht="15" hidden="false" customHeight="true" outlineLevel="0" collapsed="false">
      <c r="A9" s="42" t="s">
        <v>312</v>
      </c>
      <c r="B9" s="128" t="n">
        <v>46150</v>
      </c>
      <c r="C9" s="129" t="n">
        <v>4</v>
      </c>
      <c r="D9" s="130" t="n">
        <v>3</v>
      </c>
      <c r="E9" s="131" t="n">
        <v>2</v>
      </c>
      <c r="F9" s="132" t="n">
        <v>4</v>
      </c>
      <c r="G9" s="133" t="n">
        <v>68</v>
      </c>
      <c r="H9" s="44" t="n">
        <f aca="false">H8+F9</f>
        <v>28</v>
      </c>
      <c r="I9" s="38" t="n">
        <f aca="false">C9+D9+E9</f>
        <v>9</v>
      </c>
      <c r="J9" s="61" t="n">
        <f aca="false">48-H9</f>
        <v>20</v>
      </c>
      <c r="K9" s="45" t="n">
        <f aca="false">MAX(0,48-(48/10)*5)</f>
        <v>24</v>
      </c>
      <c r="L9" s="46" t="n">
        <f aca="false">MAX(0,48-48*POWER(5/(10*1.2),1.3))</f>
        <v>32.6196356700873</v>
      </c>
      <c r="M9" s="134" t="n">
        <f aca="false">AVERAGE(F6:F9)</f>
        <v>5.25</v>
      </c>
      <c r="N9" s="62" t="n">
        <f aca="false">F9-F8</f>
        <v>1</v>
      </c>
      <c r="O9" s="118" t="n">
        <f aca="false">768-SUM(G5:G9)</f>
        <v>324</v>
      </c>
      <c r="P9" s="135" t="n">
        <f aca="false">H9/48</f>
        <v>0.583333333333333</v>
      </c>
      <c r="Q9" s="136" t="n">
        <f aca="false">SUM(G5:G9)/768</f>
        <v>0.578125</v>
      </c>
      <c r="R9" s="47" t="str">
        <f aca="false">IF(J9&lt;=K9,"Nhanh",IF(J9&lt;=L9,"OK","CHAM"))</f>
        <v>Nhanh</v>
      </c>
      <c r="S9" s="87" t="n">
        <v>9</v>
      </c>
    </row>
    <row r="10" customFormat="false" ht="15" hidden="false" customHeight="true" outlineLevel="0" collapsed="false">
      <c r="A10" s="54" t="s">
        <v>313</v>
      </c>
      <c r="B10" s="137" t="n">
        <v>46157</v>
      </c>
      <c r="C10" s="129" t="n">
        <v>3</v>
      </c>
      <c r="D10" s="130" t="n">
        <v>3</v>
      </c>
      <c r="E10" s="131" t="n">
        <v>0</v>
      </c>
      <c r="F10" s="132" t="n">
        <v>8</v>
      </c>
      <c r="G10" s="133" t="n">
        <v>152</v>
      </c>
      <c r="H10" s="57" t="n">
        <f aca="false">H9+F10</f>
        <v>36</v>
      </c>
      <c r="I10" s="49" t="n">
        <f aca="false">C10+D10+E10</f>
        <v>6</v>
      </c>
      <c r="J10" s="50" t="n">
        <f aca="false">48-H10</f>
        <v>12</v>
      </c>
      <c r="K10" s="58" t="n">
        <f aca="false">MAX(0,48-(48/10)*6)</f>
        <v>19.2</v>
      </c>
      <c r="L10" s="59" t="n">
        <f aca="false">MAX(0,48-48*POWER(6/(10*1.2),1.3))</f>
        <v>28.5059424874503</v>
      </c>
      <c r="M10" s="138" t="n">
        <f aca="false">AVERAGE(F7:F10)</f>
        <v>5.5</v>
      </c>
      <c r="N10" s="51" t="n">
        <f aca="false">F10-F9</f>
        <v>4</v>
      </c>
      <c r="O10" s="120" t="n">
        <f aca="false">768-SUM(G5:G10)</f>
        <v>172</v>
      </c>
      <c r="P10" s="139" t="n">
        <f aca="false">H10/48</f>
        <v>0.75</v>
      </c>
      <c r="Q10" s="140" t="n">
        <f aca="false">SUM(G5:G10)/768</f>
        <v>0.776041666666667</v>
      </c>
      <c r="R10" s="52" t="str">
        <f aca="false">IF(J10&lt;=K10,"Nhanh",IF(J10&lt;=L10,"OK","CHAM"))</f>
        <v>Nhanh</v>
      </c>
      <c r="S10" s="87" t="n">
        <v>9</v>
      </c>
    </row>
    <row r="11" customFormat="false" ht="15" hidden="false" customHeight="true" outlineLevel="0" collapsed="false">
      <c r="A11" s="42" t="s">
        <v>314</v>
      </c>
      <c r="B11" s="128" t="n">
        <v>46164</v>
      </c>
      <c r="C11" s="129" t="n">
        <v>5</v>
      </c>
      <c r="D11" s="130" t="n">
        <v>2</v>
      </c>
      <c r="E11" s="131" t="n">
        <v>2</v>
      </c>
      <c r="F11" s="132" t="n">
        <v>8</v>
      </c>
      <c r="G11" s="133" t="n">
        <v>96</v>
      </c>
      <c r="H11" s="44" t="n">
        <f aca="false">H10+F11</f>
        <v>44</v>
      </c>
      <c r="I11" s="38" t="n">
        <f aca="false">C11+D11+E11</f>
        <v>9</v>
      </c>
      <c r="J11" s="61" t="n">
        <f aca="false">48-H11</f>
        <v>4</v>
      </c>
      <c r="K11" s="45" t="n">
        <f aca="false">MAX(0,48-(48/10)*7)</f>
        <v>14.4</v>
      </c>
      <c r="L11" s="46" t="n">
        <f aca="false">MAX(0,48-48*POWER(7/(10*1.2),1.3))</f>
        <v>24.1804764898414</v>
      </c>
      <c r="M11" s="134" t="n">
        <f aca="false">AVERAGE(F8:F11)</f>
        <v>5.75</v>
      </c>
      <c r="N11" s="62" t="n">
        <f aca="false">F11-F10</f>
        <v>0</v>
      </c>
      <c r="O11" s="118" t="n">
        <f aca="false">768-SUM(G5:G11)</f>
        <v>76</v>
      </c>
      <c r="P11" s="135" t="n">
        <f aca="false">H11/48</f>
        <v>0.916666666666667</v>
      </c>
      <c r="Q11" s="136" t="n">
        <f aca="false">SUM(G5:G11)/768</f>
        <v>0.901041666666667</v>
      </c>
      <c r="R11" s="47" t="str">
        <f aca="false">IF(J11&lt;=K11,"Nhanh",IF(J11&lt;=L11,"OK","CHAM"))</f>
        <v>Nhanh</v>
      </c>
      <c r="S11" s="87" t="n">
        <v>9</v>
      </c>
    </row>
    <row r="12" customFormat="false" ht="15" hidden="false" customHeight="true" outlineLevel="0" collapsed="false">
      <c r="A12" s="54" t="s">
        <v>315</v>
      </c>
      <c r="B12" s="137" t="n">
        <v>46171</v>
      </c>
      <c r="C12" s="129" t="n">
        <v>4</v>
      </c>
      <c r="D12" s="130" t="n">
        <v>3</v>
      </c>
      <c r="E12" s="131" t="n">
        <v>2</v>
      </c>
      <c r="F12" s="132" t="n">
        <v>7</v>
      </c>
      <c r="G12" s="133" t="n">
        <v>84</v>
      </c>
      <c r="H12" s="57" t="n">
        <f aca="false">H11+F12</f>
        <v>51</v>
      </c>
      <c r="I12" s="49" t="n">
        <f aca="false">C12+D12+E12</f>
        <v>9</v>
      </c>
      <c r="J12" s="50" t="n">
        <f aca="false">48-H12</f>
        <v>-3</v>
      </c>
      <c r="K12" s="58" t="n">
        <f aca="false">MAX(0,48-(48/10)*8)</f>
        <v>9.6</v>
      </c>
      <c r="L12" s="59" t="n">
        <f aca="false">MAX(0,48-48*POWER(8/(10*1.2),1.3))</f>
        <v>19.6650402145422</v>
      </c>
      <c r="M12" s="138" t="n">
        <f aca="false">AVERAGE(F9:F12)</f>
        <v>6.75</v>
      </c>
      <c r="N12" s="51" t="n">
        <f aca="false">F12-F11</f>
        <v>-1</v>
      </c>
      <c r="O12" s="120" t="n">
        <f aca="false">768-SUM(G5:G12)</f>
        <v>-8</v>
      </c>
      <c r="P12" s="139" t="n">
        <f aca="false">H12/48</f>
        <v>1.0625</v>
      </c>
      <c r="Q12" s="140" t="n">
        <f aca="false">SUM(G5:G12)/768</f>
        <v>1.01041666666667</v>
      </c>
      <c r="R12" s="52" t="str">
        <f aca="false">IF(J12&lt;=K12,"Nhanh",IF(J12&lt;=L12,"OK","CHAM"))</f>
        <v>Nhanh</v>
      </c>
      <c r="S12" s="87" t="n">
        <v>9</v>
      </c>
    </row>
    <row r="13" customFormat="false" ht="15" hidden="false" customHeight="true" outlineLevel="0" collapsed="false">
      <c r="A13" s="42" t="s">
        <v>316</v>
      </c>
      <c r="B13" s="128" t="n">
        <v>46178</v>
      </c>
      <c r="C13" s="129" t="n">
        <v>4</v>
      </c>
      <c r="D13" s="130" t="n">
        <v>4</v>
      </c>
      <c r="E13" s="131" t="n">
        <v>1</v>
      </c>
      <c r="F13" s="132" t="n">
        <v>4</v>
      </c>
      <c r="G13" s="133" t="n">
        <v>80</v>
      </c>
      <c r="H13" s="44" t="n">
        <f aca="false">H12+F13</f>
        <v>55</v>
      </c>
      <c r="I13" s="38" t="n">
        <f aca="false">C13+D13+E13</f>
        <v>9</v>
      </c>
      <c r="J13" s="61" t="n">
        <f aca="false">48-H13</f>
        <v>-7</v>
      </c>
      <c r="K13" s="45" t="n">
        <f aca="false">MAX(0,48-(48/10)*9)</f>
        <v>4.8</v>
      </c>
      <c r="L13" s="46" t="n">
        <f aca="false">MAX(0,48-48*POWER(9/(10*1.2),1.3))</f>
        <v>14.9766688328735</v>
      </c>
      <c r="M13" s="134" t="n">
        <f aca="false">AVERAGE(F10:F13)</f>
        <v>6.75</v>
      </c>
      <c r="N13" s="62" t="n">
        <f aca="false">F13-F12</f>
        <v>-3</v>
      </c>
      <c r="O13" s="118" t="n">
        <f aca="false">768-SUM(G5:G13)</f>
        <v>-88</v>
      </c>
      <c r="P13" s="135" t="n">
        <f aca="false">H13/48</f>
        <v>1.14583333333333</v>
      </c>
      <c r="Q13" s="136" t="n">
        <f aca="false">SUM(G5:G13)/768</f>
        <v>1.11458333333333</v>
      </c>
      <c r="R13" s="47" t="str">
        <f aca="false">IF(J13&lt;=K13,"Nhanh",IF(J13&lt;=L13,"OK","CHAM"))</f>
        <v>Nhanh</v>
      </c>
      <c r="S13" s="87" t="n">
        <v>9</v>
      </c>
    </row>
    <row r="14" customFormat="false" ht="15" hidden="false" customHeight="true" outlineLevel="0" collapsed="false">
      <c r="A14" s="54" t="s">
        <v>317</v>
      </c>
      <c r="B14" s="137" t="n">
        <v>46185</v>
      </c>
      <c r="C14" s="129" t="n">
        <v>4</v>
      </c>
      <c r="D14" s="130" t="n">
        <v>3</v>
      </c>
      <c r="E14" s="131" t="n">
        <v>1</v>
      </c>
      <c r="F14" s="132" t="n">
        <v>3</v>
      </c>
      <c r="G14" s="133" t="n">
        <v>57</v>
      </c>
      <c r="H14" s="57" t="n">
        <f aca="false">H13+F14</f>
        <v>58</v>
      </c>
      <c r="I14" s="49" t="n">
        <f aca="false">C14+D14+E14</f>
        <v>8</v>
      </c>
      <c r="J14" s="50" t="n">
        <f aca="false">48-H14</f>
        <v>-10</v>
      </c>
      <c r="K14" s="58" t="n">
        <f aca="false">MAX(0,48-(48/10)*10)</f>
        <v>0</v>
      </c>
      <c r="L14" s="59" t="n">
        <f aca="false">MAX(0,48-48*POWER(10/(10*1.2),1.3))</f>
        <v>10.129100760037</v>
      </c>
      <c r="M14" s="138" t="n">
        <f aca="false">AVERAGE(F11:F14)</f>
        <v>5.5</v>
      </c>
      <c r="N14" s="51" t="n">
        <f aca="false">F14-F13</f>
        <v>-1</v>
      </c>
      <c r="O14" s="120" t="n">
        <f aca="false">768-SUM(G5:G14)</f>
        <v>-145</v>
      </c>
      <c r="P14" s="139" t="n">
        <f aca="false">H14/48</f>
        <v>1.20833333333333</v>
      </c>
      <c r="Q14" s="140" t="n">
        <f aca="false">SUM(G5:G14)/768</f>
        <v>1.18880208333333</v>
      </c>
      <c r="R14" s="52" t="str">
        <f aca="false">IF(J14&lt;=K14,"Nhanh",IF(J14&lt;=L14,"OK","CHAM"))</f>
        <v>Nhanh</v>
      </c>
      <c r="S14" s="87" t="n">
        <v>9</v>
      </c>
    </row>
  </sheetData>
  <mergeCells count="6">
    <mergeCell ref="A1:R1"/>
    <mergeCell ref="A2:R2"/>
    <mergeCell ref="A3:B3"/>
    <mergeCell ref="C3:E3"/>
    <mergeCell ref="F3:H3"/>
    <mergeCell ref="I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L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87" width="14"/>
    <col collapsed="false" customWidth="true" hidden="false" outlineLevel="0" max="6" min="2" style="87" width="10"/>
  </cols>
  <sheetData>
    <row r="1" customFormat="false" ht="30" hidden="false" customHeight="true" outlineLevel="0" collapsed="false">
      <c r="A1" s="88" t="s">
        <v>318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</row>
    <row r="3" customFormat="false" ht="15" hidden="false" customHeight="true" outlineLevel="0" collapsed="false">
      <c r="A3" s="35" t="s">
        <v>319</v>
      </c>
      <c r="B3" s="35"/>
      <c r="C3" s="35"/>
      <c r="D3" s="35"/>
      <c r="E3" s="35"/>
      <c r="F3" s="35"/>
    </row>
    <row r="4" customFormat="false" ht="23.25" hidden="false" customHeight="true" outlineLevel="0" collapsed="false">
      <c r="A4" s="21" t="s">
        <v>22</v>
      </c>
      <c r="B4" s="21" t="s">
        <v>320</v>
      </c>
      <c r="C4" s="21"/>
      <c r="D4" s="21"/>
      <c r="E4" s="21"/>
      <c r="F4" s="21"/>
    </row>
    <row r="5" customFormat="false" ht="15" hidden="false" customHeight="true" outlineLevel="0" collapsed="false">
      <c r="A5" s="22" t="s">
        <v>321</v>
      </c>
      <c r="B5" s="22"/>
      <c r="C5" s="22"/>
      <c r="D5" s="141" t="n">
        <f aca="false">MEDIAN('Item Log'!S4:S51)</f>
        <v>9</v>
      </c>
      <c r="E5" s="141"/>
      <c r="F5" s="141"/>
    </row>
    <row r="6" customFormat="false" ht="15" hidden="false" customHeight="true" outlineLevel="0" collapsed="false">
      <c r="A6" s="26" t="s">
        <v>322</v>
      </c>
      <c r="B6" s="26"/>
      <c r="C6" s="26"/>
      <c r="D6" s="29" t="n">
        <f aca="false">PERCENTILE('Item Log'!S4:S51,0.7)</f>
        <v>9</v>
      </c>
      <c r="E6" s="29"/>
      <c r="F6" s="29"/>
    </row>
    <row r="7" customFormat="false" ht="15" hidden="false" customHeight="true" outlineLevel="0" collapsed="false">
      <c r="A7" s="22" t="s">
        <v>323</v>
      </c>
      <c r="B7" s="22"/>
      <c r="C7" s="22"/>
      <c r="D7" s="142" t="n">
        <f aca="false">PERCENTILE('Item Log'!S4:S51,0.85)</f>
        <v>10.75</v>
      </c>
      <c r="E7" s="142"/>
      <c r="F7" s="142"/>
    </row>
    <row r="8" customFormat="false" ht="15" hidden="false" customHeight="true" outlineLevel="0" collapsed="false">
      <c r="A8" s="26" t="s">
        <v>324</v>
      </c>
      <c r="B8" s="26"/>
      <c r="C8" s="26"/>
      <c r="D8" s="27" t="n">
        <f aca="false">PERCENTILE('Item Log'!S4:S51,0.95)</f>
        <v>12</v>
      </c>
      <c r="E8" s="27"/>
      <c r="F8" s="27"/>
    </row>
    <row r="9" customFormat="false" ht="15" hidden="false" customHeight="true" outlineLevel="0" collapsed="false">
      <c r="A9" s="22" t="s">
        <v>325</v>
      </c>
      <c r="B9" s="22"/>
      <c r="C9" s="22"/>
      <c r="D9" s="112" t="n">
        <f aca="false">AVERAGEIF('Item Log'!S4:S51,"&gt;0")</f>
        <v>8.83333333333333</v>
      </c>
      <c r="E9" s="112"/>
      <c r="F9" s="112"/>
    </row>
    <row r="10" customFormat="false" ht="15" hidden="false" customHeight="true" outlineLevel="0" collapsed="false">
      <c r="A10" s="26" t="s">
        <v>326</v>
      </c>
      <c r="B10" s="26"/>
      <c r="C10" s="26"/>
      <c r="D10" s="27" t="n">
        <f aca="false">MAX('Item Log'!S4:S51)</f>
        <v>12</v>
      </c>
      <c r="E10" s="27"/>
      <c r="F10" s="27"/>
    </row>
    <row r="11" customFormat="false" ht="15" hidden="false" customHeight="true" outlineLevel="0" collapsed="false">
      <c r="A11" s="22" t="s">
        <v>327</v>
      </c>
      <c r="B11" s="22"/>
      <c r="C11" s="22"/>
      <c r="D11" s="141" t="n">
        <f aca="false">MIN(IF('Item Log'!S4:S51&gt;0,'Item Log'!S4:S51))</f>
        <v>6</v>
      </c>
      <c r="E11" s="141"/>
      <c r="F11" s="141"/>
    </row>
    <row r="13" customFormat="false" ht="15" hidden="false" customHeight="true" outlineLevel="0" collapsed="false">
      <c r="A13" s="73" t="s">
        <v>328</v>
      </c>
      <c r="B13" s="73"/>
      <c r="C13" s="73"/>
      <c r="D13" s="73"/>
      <c r="E13" s="73"/>
      <c r="F13" s="73"/>
    </row>
    <row r="14" customFormat="false" ht="15" hidden="false" customHeight="true" outlineLevel="0" collapsed="false">
      <c r="A14" s="21" t="s">
        <v>138</v>
      </c>
      <c r="B14" s="21" t="s">
        <v>329</v>
      </c>
      <c r="C14" s="21" t="s">
        <v>330</v>
      </c>
      <c r="D14" s="21" t="s">
        <v>323</v>
      </c>
      <c r="E14" s="21" t="s">
        <v>331</v>
      </c>
      <c r="F14" s="21" t="s">
        <v>332</v>
      </c>
    </row>
    <row r="15" customFormat="false" ht="15" hidden="false" customHeight="true" outlineLevel="0" collapsed="false">
      <c r="A15" s="26" t="s">
        <v>154</v>
      </c>
      <c r="B15" s="28" t="n">
        <f aca="false">COUNTIFS('Item Log'!C4:C51,A15,'Item Log'!S4:S51,"&gt;0")</f>
        <v>20</v>
      </c>
      <c r="C15" s="74" t="n">
        <f aca="false">IFERROR(AVERAGEIFS('Item Log'!S4:S51,'Item Log'!C4:C51,A15,'Item Log'!S4:S51,"&gt;0"),"")</f>
        <v>8.75</v>
      </c>
      <c r="D15" s="27" t="str">
        <f aca="false">IFERROR(percentile.inc(IF('Item Log'!C4:C51=A15,'Item Log'!S4:S51),0.85),"")</f>
        <v/>
      </c>
      <c r="E15" s="143" t="str">
        <f aca="false">IFERROR(minifs('Item Log'!S4:S51,'Item Log'!C4:C51,A15,'Item Log'!S4:S51,"&gt;0"),"")</f>
        <v/>
      </c>
      <c r="F15" s="144" t="str">
        <f aca="false">IFERROR(maxifs('Item Log'!S4:S51,'Item Log'!C4:C51,A15,'Item Log'!S4:S51,"&gt;0"),"")</f>
        <v/>
      </c>
    </row>
    <row r="16" customFormat="false" ht="15" hidden="false" customHeight="true" outlineLevel="0" collapsed="false">
      <c r="A16" s="24" t="s">
        <v>148</v>
      </c>
      <c r="B16" s="55" t="n">
        <f aca="false">COUNTIFS('Item Log'!C4:C51,A16,'Item Log'!S4:S51,"&gt;0")</f>
        <v>9</v>
      </c>
      <c r="C16" s="77" t="n">
        <f aca="false">IFERROR(AVERAGEIFS('Item Log'!S4:S51,'Item Log'!C4:C51,A16,'Item Log'!S4:S51,"&gt;0"),"")</f>
        <v>9</v>
      </c>
      <c r="D16" s="30" t="str">
        <f aca="false">IFERROR(percentile.inc(IF('Item Log'!C4:C51=A16,'Item Log'!S4:S51),0.85),"")</f>
        <v/>
      </c>
      <c r="E16" s="145" t="str">
        <f aca="false">IFERROR(minifs('Item Log'!S4:S51,'Item Log'!C4:C51,A16,'Item Log'!S4:S51,"&gt;0"),"")</f>
        <v/>
      </c>
      <c r="F16" s="146" t="str">
        <f aca="false">IFERROR(maxifs('Item Log'!S4:S51,'Item Log'!C4:C51,A16,'Item Log'!S4:S51,"&gt;0"),"")</f>
        <v/>
      </c>
    </row>
    <row r="17" customFormat="false" ht="15" hidden="false" customHeight="true" outlineLevel="0" collapsed="false">
      <c r="A17" s="26" t="s">
        <v>194</v>
      </c>
      <c r="B17" s="28" t="n">
        <f aca="false">COUNTIFS('Item Log'!C4:C51,A17,'Item Log'!S4:S51,"&gt;0")</f>
        <v>3</v>
      </c>
      <c r="C17" s="74" t="n">
        <f aca="false">IFERROR(AVERAGEIFS('Item Log'!S4:S51,'Item Log'!C4:C51,A17,'Item Log'!S4:S51,"&gt;0"),"")</f>
        <v>10</v>
      </c>
      <c r="D17" s="27" t="str">
        <f aca="false">IFERROR(percentile.inc(IF('Item Log'!C4:C51=A17,'Item Log'!S4:S51),0.85),"")</f>
        <v/>
      </c>
      <c r="E17" s="143" t="str">
        <f aca="false">IFERROR(minifs('Item Log'!S4:S51,'Item Log'!C4:C51,A17,'Item Log'!S4:S51,"&gt;0"),"")</f>
        <v/>
      </c>
      <c r="F17" s="144" t="str">
        <f aca="false">IFERROR(maxifs('Item Log'!S4:S51,'Item Log'!C4:C51,A17,'Item Log'!S4:S51,"&gt;0"),"")</f>
        <v/>
      </c>
    </row>
    <row r="18" customFormat="false" ht="15" hidden="false" customHeight="true" outlineLevel="0" collapsed="false">
      <c r="A18" s="24" t="s">
        <v>157</v>
      </c>
      <c r="B18" s="55" t="n">
        <f aca="false">COUNTIFS('Item Log'!C4:C51,A18,'Item Log'!S4:S51,"&gt;0")</f>
        <v>4</v>
      </c>
      <c r="C18" s="77" t="n">
        <f aca="false">IFERROR(AVERAGEIFS('Item Log'!S4:S51,'Item Log'!C4:C51,A18,'Item Log'!S4:S51,"&gt;0"),"")</f>
        <v>8</v>
      </c>
      <c r="D18" s="30" t="str">
        <f aca="false">IFERROR(percentile.inc(IF('Item Log'!C4:C51=A18,'Item Log'!S4:S51),0.85),"")</f>
        <v/>
      </c>
      <c r="E18" s="145" t="str">
        <f aca="false">IFERROR(minifs('Item Log'!S4:S51,'Item Log'!C4:C51,A18,'Item Log'!S4:S51,"&gt;0"),"")</f>
        <v/>
      </c>
      <c r="F18" s="146" t="str">
        <f aca="false">IFERROR(maxifs('Item Log'!S4:S51,'Item Log'!C4:C51,A18,'Item Log'!S4:S51,"&gt;0"),"")</f>
        <v/>
      </c>
    </row>
    <row r="21" customFormat="false" ht="15" hidden="false" customHeight="true" outlineLevel="0" collapsed="false">
      <c r="A21" s="36" t="s">
        <v>333</v>
      </c>
      <c r="B21" s="36"/>
      <c r="C21" s="36"/>
      <c r="D21" s="36"/>
      <c r="E21" s="36"/>
      <c r="F21" s="36"/>
    </row>
    <row r="22" customFormat="false" ht="15" hidden="false" customHeight="true" outlineLevel="0" collapsed="false">
      <c r="A22" s="21" t="s">
        <v>63</v>
      </c>
      <c r="B22" s="21" t="s">
        <v>329</v>
      </c>
      <c r="C22" s="21" t="s">
        <v>330</v>
      </c>
      <c r="D22" s="21" t="s">
        <v>323</v>
      </c>
      <c r="E22" s="21" t="s">
        <v>327</v>
      </c>
      <c r="F22" s="21" t="s">
        <v>326</v>
      </c>
    </row>
    <row r="23" customFormat="false" ht="15" hidden="false" customHeight="true" outlineLevel="0" collapsed="false">
      <c r="A23" s="26" t="s">
        <v>151</v>
      </c>
      <c r="B23" s="28" t="n">
        <f aca="false">COUNTIFS('Item Log'!D4:D51,A23,'Item Log'!S4:S51,"&gt;0")</f>
        <v>9</v>
      </c>
      <c r="C23" s="74" t="n">
        <f aca="false">IFERROR(AVERAGEIFS('Item Log'!S4:S51,'Item Log'!D4:D51,A23,'Item Log'!S4:S51,"&gt;0"),"")</f>
        <v>8</v>
      </c>
      <c r="D23" s="27" t="str">
        <f aca="false">IFERROR(percentile.inc(IF('Item Log'!D4:D51=A23,'Item Log'!S4:S51),0.85),"")</f>
        <v/>
      </c>
      <c r="E23" s="143" t="str">
        <f aca="false">IFERROR(minifs('Item Log'!S4:S51,'Item Log'!D4:D51,A23,'Item Log'!S4:S51,"&gt;0"),"")</f>
        <v/>
      </c>
      <c r="F23" s="144" t="str">
        <f aca="false">IFERROR(maxifs('Item Log'!S4:S51,'Item Log'!D4:D51,A23,'Item Log'!S4:S51,"&gt;0"),"")</f>
        <v/>
      </c>
    </row>
    <row r="24" customFormat="false" ht="15" hidden="false" customHeight="true" outlineLevel="0" collapsed="false">
      <c r="A24" s="24" t="s">
        <v>158</v>
      </c>
      <c r="B24" s="55" t="n">
        <f aca="false">COUNTIFS('Item Log'!D4:D51,A24,'Item Log'!S4:S51,"&gt;0")</f>
        <v>16</v>
      </c>
      <c r="C24" s="77" t="n">
        <f aca="false">IFERROR(AVERAGEIFS('Item Log'!S4:S51,'Item Log'!D4:D51,A24,'Item Log'!S4:S51,"&gt;0"),"")</f>
        <v>9.625</v>
      </c>
      <c r="D24" s="30" t="str">
        <f aca="false">IFERROR(percentile.inc(IF('Item Log'!D4:D51=A24,'Item Log'!S4:S51),0.85),"")</f>
        <v/>
      </c>
      <c r="E24" s="145" t="str">
        <f aca="false">IFERROR(minifs('Item Log'!S4:S51,'Item Log'!D4:D51,A24,'Item Log'!S4:S51,"&gt;0"),"")</f>
        <v/>
      </c>
      <c r="F24" s="146" t="str">
        <f aca="false">IFERROR(maxifs('Item Log'!S4:S51,'Item Log'!D4:D51,A24,'Item Log'!S4:S51,"&gt;0"),"")</f>
        <v/>
      </c>
    </row>
    <row r="25" customFormat="false" ht="15" hidden="false" customHeight="true" outlineLevel="0" collapsed="false">
      <c r="A25" s="26" t="s">
        <v>149</v>
      </c>
      <c r="B25" s="28" t="n">
        <f aca="false">COUNTIFS('Item Log'!D4:D51,A25,'Item Log'!S4:S51,"&gt;0")</f>
        <v>11</v>
      </c>
      <c r="C25" s="74" t="n">
        <f aca="false">IFERROR(AVERAGEIFS('Item Log'!S4:S51,'Item Log'!D4:D51,A25,'Item Log'!S4:S51,"&gt;0"),"")</f>
        <v>8.36363636363636</v>
      </c>
      <c r="D25" s="27" t="str">
        <f aca="false">IFERROR(percentile.inc(IF('Item Log'!D4:D51=A25,'Item Log'!S4:S51),0.85),"")</f>
        <v/>
      </c>
      <c r="E25" s="143" t="str">
        <f aca="false">IFERROR(minifs('Item Log'!S4:S51,'Item Log'!D4:D51,A25,'Item Log'!S4:S51,"&gt;0"),"")</f>
        <v/>
      </c>
      <c r="F25" s="144" t="str">
        <f aca="false">IFERROR(maxifs('Item Log'!S4:S51,'Item Log'!D4:D51,A25,'Item Log'!S4:S51,"&gt;0"),"")</f>
        <v/>
      </c>
    </row>
    <row r="28" customFormat="false" ht="15" hidden="false" customHeight="true" outlineLevel="0" collapsed="false">
      <c r="A28" s="19" t="s">
        <v>334</v>
      </c>
      <c r="B28" s="19"/>
      <c r="C28" s="19"/>
    </row>
    <row r="29" customFormat="false" ht="15" hidden="false" customHeight="true" outlineLevel="0" collapsed="false">
      <c r="A29" s="147" t="s">
        <v>335</v>
      </c>
      <c r="B29" s="147" t="s">
        <v>329</v>
      </c>
    </row>
    <row r="30" customFormat="false" ht="15" hidden="false" customHeight="true" outlineLevel="0" collapsed="false">
      <c r="A30" s="87" t="s">
        <v>336</v>
      </c>
      <c r="B30" s="118" t="n">
        <f aca="false">COUNTIFS('Item Log'!S4:S51,"&gt;="&amp;1,'Item Log'!S4:S51,"&lt;="&amp;3)</f>
        <v>0</v>
      </c>
    </row>
    <row r="31" customFormat="false" ht="15" hidden="false" customHeight="true" outlineLevel="0" collapsed="false">
      <c r="A31" s="87" t="s">
        <v>337</v>
      </c>
      <c r="B31" s="118" t="n">
        <f aca="false">COUNTIFS('Item Log'!S4:S51,"&gt;="&amp;4,'Item Log'!S4:S51,"&lt;="&amp;6)</f>
        <v>3</v>
      </c>
    </row>
    <row r="32" customFormat="false" ht="15" hidden="false" customHeight="true" outlineLevel="0" collapsed="false">
      <c r="A32" s="87" t="s">
        <v>338</v>
      </c>
      <c r="B32" s="118" t="n">
        <f aca="false">COUNTIFS('Item Log'!S4:S51,"&gt;="&amp;7,'Item Log'!S4:S51,"&lt;="&amp;9)</f>
        <v>26</v>
      </c>
    </row>
    <row r="33" customFormat="false" ht="15" hidden="false" customHeight="true" outlineLevel="0" collapsed="false">
      <c r="A33" s="87" t="s">
        <v>339</v>
      </c>
      <c r="B33" s="118" t="n">
        <f aca="false">COUNTIFS('Item Log'!S4:S51,"&gt;="&amp;10,'Item Log'!S4:S51,"&lt;="&amp;12)</f>
        <v>7</v>
      </c>
    </row>
    <row r="34" customFormat="false" ht="15" hidden="false" customHeight="true" outlineLevel="0" collapsed="false">
      <c r="A34" s="87" t="s">
        <v>340</v>
      </c>
      <c r="B34" s="118" t="n">
        <f aca="false">COUNTIFS('Item Log'!S4:S51,"&gt;="&amp;13,'Item Log'!S4:S51,"&lt;="&amp;999)</f>
        <v>0</v>
      </c>
    </row>
  </sheetData>
  <mergeCells count="19">
    <mergeCell ref="A1:L1"/>
    <mergeCell ref="A3:F3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3:F13"/>
    <mergeCell ref="A21:F21"/>
    <mergeCell ref="A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87" width="12"/>
    <col collapsed="false" customWidth="true" hidden="false" outlineLevel="0" max="3" min="3" style="87" width="10"/>
    <col collapsed="false" customWidth="true" hidden="false" outlineLevel="0" max="4" min="4" style="87" width="14"/>
    <col collapsed="false" customWidth="true" hidden="false" outlineLevel="0" max="5" min="5" style="87" width="18"/>
  </cols>
  <sheetData>
    <row r="1" customFormat="false" ht="30" hidden="false" customHeight="true" outlineLevel="0" collapsed="false">
      <c r="A1" s="88" t="s">
        <v>341</v>
      </c>
      <c r="B1" s="88"/>
      <c r="C1" s="88"/>
      <c r="D1" s="88"/>
      <c r="E1" s="88"/>
      <c r="F1" s="88"/>
      <c r="G1" s="88"/>
      <c r="H1" s="88"/>
      <c r="I1" s="88"/>
      <c r="J1" s="88"/>
    </row>
    <row r="3" customFormat="false" ht="15" hidden="false" customHeight="true" outlineLevel="0" collapsed="false">
      <c r="A3" s="36" t="s">
        <v>342</v>
      </c>
      <c r="B3" s="36"/>
      <c r="C3" s="36"/>
      <c r="D3" s="36"/>
      <c r="E3" s="36"/>
    </row>
    <row r="4" customFormat="false" ht="15" hidden="false" customHeight="true" outlineLevel="0" collapsed="false">
      <c r="A4" s="22" t="s">
        <v>343</v>
      </c>
      <c r="B4" s="22"/>
      <c r="C4" s="22"/>
      <c r="D4" s="112" t="n">
        <f aca="false">'Weekly Data'!J14</f>
        <v>-10</v>
      </c>
      <c r="E4" s="76" t="s">
        <v>97</v>
      </c>
    </row>
    <row r="5" customFormat="false" ht="15" hidden="false" customHeight="true" outlineLevel="0" collapsed="false">
      <c r="A5" s="26" t="s">
        <v>99</v>
      </c>
      <c r="B5" s="26"/>
      <c r="C5" s="26"/>
      <c r="D5" s="113" t="n">
        <f aca="false">AVERAGE('Weekly Data'!F5:F14)</f>
        <v>5.7</v>
      </c>
      <c r="E5" s="41" t="s">
        <v>344</v>
      </c>
    </row>
    <row r="6" customFormat="false" ht="15" hidden="false" customHeight="true" outlineLevel="0" collapsed="false">
      <c r="A6" s="22" t="s">
        <v>345</v>
      </c>
      <c r="B6" s="22"/>
      <c r="C6" s="22"/>
      <c r="D6" s="112" t="n">
        <f aca="false">MIN('Weekly Data'!F5:F14)</f>
        <v>3</v>
      </c>
      <c r="E6" s="76" t="s">
        <v>344</v>
      </c>
    </row>
    <row r="7" customFormat="false" ht="15" hidden="false" customHeight="true" outlineLevel="0" collapsed="false">
      <c r="A7" s="26" t="s">
        <v>346</v>
      </c>
      <c r="B7" s="26"/>
      <c r="C7" s="26"/>
      <c r="D7" s="113" t="n">
        <f aca="false">MAX('Weekly Data'!F5:F14)</f>
        <v>8</v>
      </c>
      <c r="E7" s="41" t="s">
        <v>344</v>
      </c>
    </row>
    <row r="8" customFormat="false" ht="15" hidden="false" customHeight="true" outlineLevel="0" collapsed="false">
      <c r="A8" s="22" t="s">
        <v>347</v>
      </c>
      <c r="B8" s="22"/>
      <c r="C8" s="22"/>
      <c r="D8" s="112" t="n">
        <f aca="false">COUNTA('Weekly Data'!A5:A14)</f>
        <v>10</v>
      </c>
      <c r="E8" s="76" t="s">
        <v>103</v>
      </c>
    </row>
    <row r="10" customFormat="false" ht="15" hidden="false" customHeight="true" outlineLevel="0" collapsed="false">
      <c r="A10" s="85" t="s">
        <v>348</v>
      </c>
      <c r="B10" s="85"/>
      <c r="C10" s="85"/>
      <c r="D10" s="85"/>
      <c r="E10" s="85"/>
    </row>
    <row r="11" customFormat="false" ht="15" hidden="false" customHeight="true" outlineLevel="0" collapsed="false">
      <c r="A11" s="21" t="s">
        <v>349</v>
      </c>
      <c r="B11" s="21" t="s">
        <v>350</v>
      </c>
      <c r="C11" s="21" t="s">
        <v>351</v>
      </c>
      <c r="D11" s="21" t="s">
        <v>352</v>
      </c>
      <c r="E11" s="21"/>
    </row>
    <row r="12" customFormat="false" ht="15" hidden="false" customHeight="true" outlineLevel="0" collapsed="false">
      <c r="A12" s="148" t="s">
        <v>353</v>
      </c>
      <c r="B12" s="44" t="n">
        <f aca="false">IFERROR(ROUND(D4/D5,0),"")</f>
        <v>-2</v>
      </c>
      <c r="C12" s="41" t="s">
        <v>354</v>
      </c>
      <c r="D12" s="41"/>
      <c r="E12" s="41" t="s">
        <v>104</v>
      </c>
    </row>
    <row r="13" customFormat="false" ht="15" hidden="false" customHeight="true" outlineLevel="0" collapsed="false">
      <c r="A13" s="110" t="s">
        <v>355</v>
      </c>
      <c r="B13" s="149" t="n">
        <f aca="false">IFERROR(ROUND(D4/((D5+D6)/2),0),"")</f>
        <v>-2</v>
      </c>
      <c r="C13" s="53" t="s">
        <v>356</v>
      </c>
      <c r="D13" s="53"/>
      <c r="E13" s="53" t="s">
        <v>106</v>
      </c>
    </row>
    <row r="14" customFormat="false" ht="15" hidden="false" customHeight="true" outlineLevel="0" collapsed="false">
      <c r="A14" s="111" t="s">
        <v>357</v>
      </c>
      <c r="B14" s="38" t="n">
        <f aca="false">IFERROR(ROUND(D4/D6,0),"")</f>
        <v>-3</v>
      </c>
      <c r="C14" s="41" t="s">
        <v>358</v>
      </c>
      <c r="D14" s="41"/>
      <c r="E14" s="41" t="s">
        <v>359</v>
      </c>
    </row>
    <row r="15" customFormat="false" ht="15" hidden="false" customHeight="true" outlineLevel="0" collapsed="false">
      <c r="A15" s="100" t="s">
        <v>360</v>
      </c>
      <c r="B15" s="50" t="n">
        <f aca="false">IFERROR(ROUND(D4/D6*1.2,0),"")</f>
        <v>-4</v>
      </c>
      <c r="C15" s="53" t="s">
        <v>361</v>
      </c>
      <c r="D15" s="53"/>
      <c r="E15" s="53" t="s">
        <v>110</v>
      </c>
    </row>
    <row r="18" customFormat="false" ht="15" hidden="false" customHeight="true" outlineLevel="0" collapsed="false">
      <c r="A18" s="73" t="s">
        <v>362</v>
      </c>
      <c r="B18" s="73"/>
      <c r="C18" s="73"/>
      <c r="D18" s="73"/>
      <c r="E18" s="73"/>
    </row>
    <row r="19" customFormat="false" ht="15" hidden="false" customHeight="true" outlineLevel="0" collapsed="false">
      <c r="A19" s="22" t="s">
        <v>51</v>
      </c>
      <c r="B19" s="75" t="n">
        <f aca="false">'Weekly Data'!I14</f>
        <v>8</v>
      </c>
      <c r="C19" s="76" t="s">
        <v>363</v>
      </c>
      <c r="D19" s="76"/>
      <c r="E19" s="76"/>
    </row>
    <row r="20" customFormat="false" ht="15" hidden="false" customHeight="true" outlineLevel="0" collapsed="false">
      <c r="A20" s="26" t="s">
        <v>99</v>
      </c>
      <c r="B20" s="78" t="n">
        <f aca="false">D5</f>
        <v>5.7</v>
      </c>
      <c r="C20" s="41" t="s">
        <v>364</v>
      </c>
      <c r="D20" s="41"/>
      <c r="E20" s="41"/>
    </row>
    <row r="21" customFormat="false" ht="15" hidden="false" customHeight="true" outlineLevel="0" collapsed="false">
      <c r="A21" s="22" t="s">
        <v>365</v>
      </c>
      <c r="B21" s="75" t="n">
        <f aca="false">IFERROR(B19/B20,"")</f>
        <v>1.40350877192982</v>
      </c>
      <c r="C21" s="76" t="s">
        <v>366</v>
      </c>
      <c r="D21" s="76"/>
      <c r="E21" s="76"/>
    </row>
    <row r="22" customFormat="false" ht="15" hidden="false" customHeight="true" outlineLevel="0" collapsed="false">
      <c r="A22" s="26" t="s">
        <v>114</v>
      </c>
      <c r="B22" s="78" t="n">
        <f aca="false">IFERROR(AVERAGEIF('Item Log'!S4:S51,"&gt;0"),"")</f>
        <v>8.83333333333333</v>
      </c>
      <c r="C22" s="41" t="s">
        <v>115</v>
      </c>
      <c r="D22" s="41"/>
      <c r="E22" s="41"/>
    </row>
    <row r="23" customFormat="false" ht="15" hidden="false" customHeight="true" outlineLevel="0" collapsed="false">
      <c r="A23" s="22" t="s">
        <v>53</v>
      </c>
      <c r="B23" s="75" t="n">
        <f aca="false">IFERROR(B22-B21,"")</f>
        <v>7.42982456140351</v>
      </c>
      <c r="C23" s="76" t="s">
        <v>367</v>
      </c>
      <c r="D23" s="76"/>
      <c r="E23" s="76"/>
    </row>
    <row r="24" customFormat="false" ht="15" hidden="false" customHeight="true" outlineLevel="0" collapsed="false">
      <c r="A24" s="26" t="s">
        <v>54</v>
      </c>
      <c r="B24" s="78" t="str">
        <f aca="false">IF(ABS(B23)&lt;=1,"On dinh",IF(B23&gt;1,"Co WIP an/bottleneck","Flow tot hon du kien"))</f>
        <v>Co WIP an/bottleneck</v>
      </c>
      <c r="C24" s="41"/>
      <c r="D24" s="41"/>
      <c r="E24" s="41"/>
    </row>
  </sheetData>
  <mergeCells count="19">
    <mergeCell ref="A1:J1"/>
    <mergeCell ref="A3:E3"/>
    <mergeCell ref="A4:C4"/>
    <mergeCell ref="A5:C5"/>
    <mergeCell ref="A6:C6"/>
    <mergeCell ref="A7:C7"/>
    <mergeCell ref="A8:C8"/>
    <mergeCell ref="A10:E10"/>
    <mergeCell ref="C12:D12"/>
    <mergeCell ref="C13:D13"/>
    <mergeCell ref="C14:D14"/>
    <mergeCell ref="C15:D15"/>
    <mergeCell ref="A18:E18"/>
    <mergeCell ref="C19:E19"/>
    <mergeCell ref="C20:E20"/>
    <mergeCell ref="C21:E21"/>
    <mergeCell ref="C22:E22"/>
    <mergeCell ref="C23:E23"/>
    <mergeCell ref="C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I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87" width="10"/>
    <col collapsed="false" customWidth="true" hidden="false" outlineLevel="0" max="7" min="3" style="87" width="12"/>
    <col collapsed="false" customWidth="true" hidden="false" outlineLevel="0" max="9" min="8" style="87" width="14"/>
  </cols>
  <sheetData>
    <row r="1" customFormat="false" ht="30" hidden="false" customHeight="true" outlineLevel="0" collapsed="false">
      <c r="A1" s="150" t="s">
        <v>368</v>
      </c>
      <c r="B1" s="150"/>
      <c r="C1" s="150"/>
      <c r="D1" s="150"/>
      <c r="E1" s="150"/>
      <c r="F1" s="150"/>
      <c r="G1" s="150"/>
      <c r="H1" s="150"/>
      <c r="I1" s="150"/>
    </row>
    <row r="2" customFormat="false" ht="15" hidden="false" customHeight="true" outlineLevel="0" collapsed="false">
      <c r="A2" s="151" t="s">
        <v>369</v>
      </c>
      <c r="B2" s="151"/>
      <c r="C2" s="151"/>
      <c r="D2" s="151"/>
      <c r="E2" s="151"/>
      <c r="F2" s="151"/>
      <c r="G2" s="151"/>
      <c r="H2" s="151"/>
      <c r="I2" s="151"/>
    </row>
    <row r="3" customFormat="false" ht="15" hidden="false" customHeight="true" outlineLevel="0" collapsed="false">
      <c r="A3" s="151"/>
      <c r="B3" s="151"/>
      <c r="C3" s="151"/>
      <c r="D3" s="151"/>
      <c r="E3" s="151"/>
      <c r="F3" s="151"/>
      <c r="G3" s="151"/>
      <c r="H3" s="151"/>
      <c r="I3" s="151"/>
    </row>
    <row r="5" customFormat="false" ht="23.25" hidden="false" customHeight="true" outlineLevel="0" collapsed="false">
      <c r="A5" s="21" t="s">
        <v>136</v>
      </c>
      <c r="B5" s="21" t="s">
        <v>138</v>
      </c>
      <c r="C5" s="21" t="s">
        <v>370</v>
      </c>
      <c r="D5" s="21" t="s">
        <v>55</v>
      </c>
      <c r="E5" s="21" t="s">
        <v>371</v>
      </c>
      <c r="F5" s="21" t="s">
        <v>372</v>
      </c>
      <c r="G5" s="21" t="s">
        <v>373</v>
      </c>
      <c r="H5" s="21" t="s">
        <v>374</v>
      </c>
      <c r="I5" s="21" t="s">
        <v>54</v>
      </c>
    </row>
    <row r="6" customFormat="false" ht="15" hidden="false" customHeight="true" outlineLevel="0" collapsed="false">
      <c r="A6" s="26" t="s">
        <v>155</v>
      </c>
      <c r="B6" s="110" t="s">
        <v>157</v>
      </c>
      <c r="C6" s="99" t="s">
        <v>158</v>
      </c>
      <c r="D6" s="99" t="s">
        <v>151</v>
      </c>
      <c r="E6" s="37" t="s">
        <v>267</v>
      </c>
      <c r="F6" s="101" t="n">
        <v>46120</v>
      </c>
      <c r="G6" s="101" t="n">
        <v>46122</v>
      </c>
      <c r="H6" s="44" t="n">
        <v>2</v>
      </c>
      <c r="I6" s="152" t="s">
        <v>141</v>
      </c>
    </row>
    <row r="7" customFormat="false" ht="15" hidden="false" customHeight="true" outlineLevel="0" collapsed="false">
      <c r="A7" s="24" t="s">
        <v>160</v>
      </c>
      <c r="B7" s="100" t="s">
        <v>148</v>
      </c>
      <c r="C7" s="105" t="s">
        <v>158</v>
      </c>
      <c r="D7" s="105" t="s">
        <v>151</v>
      </c>
      <c r="E7" s="37" t="s">
        <v>267</v>
      </c>
      <c r="F7" s="106" t="n">
        <v>46121</v>
      </c>
      <c r="G7" s="106" t="n">
        <v>46122</v>
      </c>
      <c r="H7" s="57" t="n">
        <v>1</v>
      </c>
      <c r="I7" s="153" t="s">
        <v>141</v>
      </c>
    </row>
    <row r="8" customFormat="false" ht="15" hidden="false" customHeight="true" outlineLevel="0" collapsed="false">
      <c r="A8" s="26" t="s">
        <v>146</v>
      </c>
      <c r="B8" s="100" t="s">
        <v>148</v>
      </c>
      <c r="C8" s="99" t="s">
        <v>149</v>
      </c>
      <c r="D8" s="99" t="s">
        <v>151</v>
      </c>
      <c r="E8" s="37" t="s">
        <v>267</v>
      </c>
      <c r="F8" s="101" t="n">
        <v>46122</v>
      </c>
      <c r="G8" s="101" t="n">
        <v>46124</v>
      </c>
      <c r="H8" s="44" t="n">
        <v>2</v>
      </c>
      <c r="I8" s="152" t="s">
        <v>141</v>
      </c>
    </row>
    <row r="9" customFormat="false" ht="15" hidden="false" customHeight="true" outlineLevel="0" collapsed="false">
      <c r="A9" s="24" t="s">
        <v>152</v>
      </c>
      <c r="B9" s="37" t="s">
        <v>154</v>
      </c>
      <c r="C9" s="105" t="s">
        <v>149</v>
      </c>
      <c r="D9" s="105" t="s">
        <v>151</v>
      </c>
      <c r="E9" s="37" t="s">
        <v>267</v>
      </c>
      <c r="F9" s="106" t="n">
        <v>46123</v>
      </c>
      <c r="G9" s="106" t="n">
        <v>46125</v>
      </c>
      <c r="H9" s="57" t="n">
        <v>2</v>
      </c>
      <c r="I9" s="153" t="s">
        <v>141</v>
      </c>
    </row>
    <row r="10" customFormat="false" ht="15" hidden="false" customHeight="true" outlineLevel="0" collapsed="false">
      <c r="A10" s="26" t="s">
        <v>162</v>
      </c>
      <c r="B10" s="100" t="s">
        <v>148</v>
      </c>
      <c r="C10" s="99" t="s">
        <v>158</v>
      </c>
      <c r="D10" s="99" t="s">
        <v>151</v>
      </c>
      <c r="E10" s="37" t="s">
        <v>267</v>
      </c>
      <c r="F10" s="101" t="n">
        <v>46123</v>
      </c>
      <c r="G10" s="101" t="n">
        <v>46124</v>
      </c>
      <c r="H10" s="44" t="n">
        <v>1</v>
      </c>
      <c r="I10" s="152" t="s">
        <v>141</v>
      </c>
    </row>
    <row r="11" customFormat="false" ht="15" hidden="false" customHeight="true" outlineLevel="0" collapsed="false">
      <c r="A11" s="24" t="s">
        <v>172</v>
      </c>
      <c r="B11" s="37" t="s">
        <v>154</v>
      </c>
      <c r="C11" s="105" t="s">
        <v>158</v>
      </c>
      <c r="D11" s="105" t="s">
        <v>151</v>
      </c>
      <c r="E11" s="37" t="s">
        <v>267</v>
      </c>
      <c r="F11" s="106" t="n">
        <v>46123</v>
      </c>
      <c r="G11" s="106" t="n">
        <v>46125</v>
      </c>
      <c r="H11" s="57" t="n">
        <v>2</v>
      </c>
      <c r="I11" s="153" t="s">
        <v>141</v>
      </c>
    </row>
    <row r="12" customFormat="false" ht="15" hidden="false" customHeight="true" outlineLevel="0" collapsed="false">
      <c r="A12" s="26" t="s">
        <v>155</v>
      </c>
      <c r="B12" s="110" t="s">
        <v>157</v>
      </c>
      <c r="C12" s="99" t="s">
        <v>158</v>
      </c>
      <c r="D12" s="99" t="s">
        <v>151</v>
      </c>
      <c r="E12" s="111" t="s">
        <v>268</v>
      </c>
      <c r="F12" s="101" t="n">
        <v>46124</v>
      </c>
      <c r="G12" s="101" t="n">
        <v>46126</v>
      </c>
      <c r="H12" s="44" t="n">
        <v>2</v>
      </c>
      <c r="I12" s="152" t="s">
        <v>141</v>
      </c>
    </row>
    <row r="13" customFormat="false" ht="15" hidden="false" customHeight="true" outlineLevel="0" collapsed="false">
      <c r="A13" s="24" t="s">
        <v>160</v>
      </c>
      <c r="B13" s="100" t="s">
        <v>148</v>
      </c>
      <c r="C13" s="105" t="s">
        <v>158</v>
      </c>
      <c r="D13" s="105" t="s">
        <v>151</v>
      </c>
      <c r="E13" s="111" t="s">
        <v>268</v>
      </c>
      <c r="F13" s="106" t="n">
        <v>46125</v>
      </c>
      <c r="G13" s="106" t="n">
        <v>46126</v>
      </c>
      <c r="H13" s="57" t="n">
        <v>1</v>
      </c>
      <c r="I13" s="153" t="s">
        <v>141</v>
      </c>
    </row>
    <row r="14" customFormat="false" ht="15" hidden="false" customHeight="true" outlineLevel="0" collapsed="false">
      <c r="A14" s="26" t="s">
        <v>164</v>
      </c>
      <c r="B14" s="37" t="s">
        <v>154</v>
      </c>
      <c r="C14" s="99" t="s">
        <v>151</v>
      </c>
      <c r="D14" s="99" t="s">
        <v>158</v>
      </c>
      <c r="E14" s="37" t="s">
        <v>267</v>
      </c>
      <c r="F14" s="101" t="n">
        <v>46125</v>
      </c>
      <c r="G14" s="101" t="n">
        <v>46127</v>
      </c>
      <c r="H14" s="44" t="n">
        <v>2</v>
      </c>
      <c r="I14" s="152" t="s">
        <v>141</v>
      </c>
    </row>
    <row r="15" customFormat="false" ht="15" hidden="false" customHeight="true" outlineLevel="0" collapsed="false">
      <c r="A15" s="24" t="s">
        <v>166</v>
      </c>
      <c r="B15" s="37" t="s">
        <v>154</v>
      </c>
      <c r="C15" s="105" t="s">
        <v>151</v>
      </c>
      <c r="D15" s="105" t="s">
        <v>158</v>
      </c>
      <c r="E15" s="37" t="s">
        <v>267</v>
      </c>
      <c r="F15" s="106" t="n">
        <v>46125</v>
      </c>
      <c r="G15" s="106" t="n">
        <v>46126</v>
      </c>
      <c r="H15" s="57" t="n">
        <v>1</v>
      </c>
      <c r="I15" s="153" t="s">
        <v>141</v>
      </c>
    </row>
    <row r="16" customFormat="false" ht="15" hidden="false" customHeight="true" outlineLevel="0" collapsed="false">
      <c r="A16" s="26" t="s">
        <v>155</v>
      </c>
      <c r="B16" s="110" t="s">
        <v>157</v>
      </c>
      <c r="C16" s="99" t="s">
        <v>159</v>
      </c>
      <c r="D16" s="99" t="s">
        <v>150</v>
      </c>
      <c r="E16" s="63" t="s">
        <v>270</v>
      </c>
      <c r="F16" s="101" t="n">
        <v>46126</v>
      </c>
      <c r="G16" s="101" t="n">
        <v>46128</v>
      </c>
      <c r="H16" s="44" t="n">
        <v>2</v>
      </c>
      <c r="I16" s="152" t="s">
        <v>141</v>
      </c>
    </row>
    <row r="17" customFormat="false" ht="15" hidden="false" customHeight="true" outlineLevel="0" collapsed="false">
      <c r="A17" s="24" t="s">
        <v>160</v>
      </c>
      <c r="B17" s="100" t="s">
        <v>148</v>
      </c>
      <c r="C17" s="105" t="s">
        <v>150</v>
      </c>
      <c r="D17" s="105" t="s">
        <v>159</v>
      </c>
      <c r="E17" s="63" t="s">
        <v>270</v>
      </c>
      <c r="F17" s="106" t="n">
        <v>46126</v>
      </c>
      <c r="G17" s="106" t="n">
        <v>46128</v>
      </c>
      <c r="H17" s="57" t="n">
        <v>2</v>
      </c>
      <c r="I17" s="153" t="s">
        <v>141</v>
      </c>
    </row>
    <row r="18" customFormat="false" ht="15" hidden="false" customHeight="true" outlineLevel="0" collapsed="false">
      <c r="A18" s="26" t="s">
        <v>168</v>
      </c>
      <c r="B18" s="100" t="s">
        <v>148</v>
      </c>
      <c r="C18" s="99" t="s">
        <v>149</v>
      </c>
      <c r="D18" s="99" t="s">
        <v>151</v>
      </c>
      <c r="E18" s="37" t="s">
        <v>267</v>
      </c>
      <c r="F18" s="101" t="n">
        <v>46126</v>
      </c>
      <c r="G18" s="101" t="n">
        <v>46127</v>
      </c>
      <c r="H18" s="44" t="n">
        <v>1</v>
      </c>
      <c r="I18" s="152" t="s">
        <v>141</v>
      </c>
    </row>
    <row r="19" customFormat="false" ht="15" hidden="false" customHeight="true" outlineLevel="0" collapsed="false">
      <c r="A19" s="24" t="s">
        <v>170</v>
      </c>
      <c r="B19" s="37" t="s">
        <v>154</v>
      </c>
      <c r="C19" s="105" t="s">
        <v>149</v>
      </c>
      <c r="D19" s="105" t="s">
        <v>151</v>
      </c>
      <c r="E19" s="37" t="s">
        <v>267</v>
      </c>
      <c r="F19" s="106" t="n">
        <v>46126</v>
      </c>
      <c r="G19" s="106" t="n">
        <v>46127</v>
      </c>
      <c r="H19" s="57" t="n">
        <v>1</v>
      </c>
      <c r="I19" s="153" t="s">
        <v>141</v>
      </c>
    </row>
    <row r="20" customFormat="false" ht="15" hidden="false" customHeight="true" outlineLevel="0" collapsed="false">
      <c r="A20" s="26" t="s">
        <v>146</v>
      </c>
      <c r="B20" s="100" t="s">
        <v>148</v>
      </c>
      <c r="C20" s="99" t="s">
        <v>149</v>
      </c>
      <c r="D20" s="99" t="s">
        <v>151</v>
      </c>
      <c r="E20" s="111" t="s">
        <v>268</v>
      </c>
      <c r="F20" s="101" t="n">
        <v>46127</v>
      </c>
      <c r="G20" s="101" t="n">
        <v>46129</v>
      </c>
      <c r="H20" s="44" t="n">
        <v>2</v>
      </c>
      <c r="I20" s="152" t="s">
        <v>141</v>
      </c>
    </row>
    <row r="21" customFormat="false" ht="15" hidden="false" customHeight="true" outlineLevel="0" collapsed="false">
      <c r="A21" s="24" t="s">
        <v>152</v>
      </c>
      <c r="B21" s="37" t="s">
        <v>154</v>
      </c>
      <c r="C21" s="105" t="s">
        <v>150</v>
      </c>
      <c r="D21" s="105" t="s">
        <v>159</v>
      </c>
      <c r="E21" s="63" t="s">
        <v>270</v>
      </c>
      <c r="F21" s="106" t="n">
        <v>46127</v>
      </c>
      <c r="G21" s="106" t="n">
        <v>46132</v>
      </c>
      <c r="H21" s="50" t="n">
        <v>5</v>
      </c>
      <c r="I21" s="153" t="s">
        <v>141</v>
      </c>
    </row>
    <row r="22" customFormat="false" ht="15" hidden="false" customHeight="true" outlineLevel="0" collapsed="false">
      <c r="A22" s="26" t="s">
        <v>162</v>
      </c>
      <c r="B22" s="100" t="s">
        <v>148</v>
      </c>
      <c r="C22" s="99" t="s">
        <v>158</v>
      </c>
      <c r="D22" s="99" t="s">
        <v>151</v>
      </c>
      <c r="E22" s="111" t="s">
        <v>268</v>
      </c>
      <c r="F22" s="101" t="n">
        <v>46127</v>
      </c>
      <c r="G22" s="101" t="n">
        <v>46129</v>
      </c>
      <c r="H22" s="44" t="n">
        <v>2</v>
      </c>
      <c r="I22" s="152" t="s">
        <v>141</v>
      </c>
    </row>
    <row r="23" customFormat="false" ht="15" hidden="false" customHeight="true" outlineLevel="0" collapsed="false">
      <c r="A23" s="24" t="s">
        <v>162</v>
      </c>
      <c r="B23" s="100" t="s">
        <v>148</v>
      </c>
      <c r="C23" s="105" t="s">
        <v>150</v>
      </c>
      <c r="D23" s="105" t="s">
        <v>159</v>
      </c>
      <c r="E23" s="63" t="s">
        <v>270</v>
      </c>
      <c r="F23" s="106" t="n">
        <v>46127</v>
      </c>
      <c r="G23" s="106" t="n">
        <v>46131</v>
      </c>
      <c r="H23" s="50" t="n">
        <v>4</v>
      </c>
      <c r="I23" s="153" t="s">
        <v>141</v>
      </c>
    </row>
    <row r="24" customFormat="false" ht="15" hidden="false" customHeight="true" outlineLevel="0" collapsed="false">
      <c r="A24" s="26" t="s">
        <v>166</v>
      </c>
      <c r="B24" s="37" t="s">
        <v>154</v>
      </c>
      <c r="C24" s="99" t="s">
        <v>151</v>
      </c>
      <c r="D24" s="99" t="s">
        <v>158</v>
      </c>
      <c r="E24" s="111" t="s">
        <v>268</v>
      </c>
      <c r="F24" s="101" t="n">
        <v>46127</v>
      </c>
      <c r="G24" s="101" t="n">
        <v>46128</v>
      </c>
      <c r="H24" s="44" t="n">
        <v>1</v>
      </c>
      <c r="I24" s="152" t="s">
        <v>141</v>
      </c>
    </row>
    <row r="25" customFormat="false" ht="15" hidden="false" customHeight="true" outlineLevel="0" collapsed="false">
      <c r="A25" s="24" t="s">
        <v>172</v>
      </c>
      <c r="B25" s="37" t="s">
        <v>154</v>
      </c>
      <c r="C25" s="105" t="s">
        <v>158</v>
      </c>
      <c r="D25" s="105" t="s">
        <v>151</v>
      </c>
      <c r="E25" s="111" t="s">
        <v>268</v>
      </c>
      <c r="F25" s="106" t="n">
        <v>46127</v>
      </c>
      <c r="G25" s="106" t="n">
        <v>46129</v>
      </c>
      <c r="H25" s="57" t="n">
        <v>2</v>
      </c>
      <c r="I25" s="153" t="s">
        <v>141</v>
      </c>
    </row>
    <row r="26" customFormat="false" ht="15" hidden="false" customHeight="true" outlineLevel="0" collapsed="false">
      <c r="A26" s="26" t="s">
        <v>180</v>
      </c>
      <c r="B26" s="100" t="s">
        <v>148</v>
      </c>
      <c r="C26" s="99" t="s">
        <v>158</v>
      </c>
      <c r="D26" s="99" t="s">
        <v>151</v>
      </c>
      <c r="E26" s="37" t="s">
        <v>267</v>
      </c>
      <c r="F26" s="101" t="n">
        <v>46127</v>
      </c>
      <c r="G26" s="101" t="n">
        <v>46129</v>
      </c>
      <c r="H26" s="44" t="n">
        <v>2</v>
      </c>
      <c r="I26" s="152" t="s">
        <v>141</v>
      </c>
    </row>
    <row r="27" customFormat="false" ht="15" hidden="false" customHeight="true" outlineLevel="0" collapsed="false">
      <c r="A27" s="24" t="s">
        <v>146</v>
      </c>
      <c r="B27" s="100" t="s">
        <v>148</v>
      </c>
      <c r="C27" s="105" t="s">
        <v>150</v>
      </c>
      <c r="D27" s="105" t="s">
        <v>159</v>
      </c>
      <c r="E27" s="63" t="s">
        <v>270</v>
      </c>
      <c r="F27" s="106" t="n">
        <v>46128</v>
      </c>
      <c r="G27" s="106" t="n">
        <v>46130</v>
      </c>
      <c r="H27" s="57" t="n">
        <v>2</v>
      </c>
      <c r="I27" s="153" t="s">
        <v>141</v>
      </c>
    </row>
    <row r="28" customFormat="false" ht="15" hidden="false" customHeight="true" outlineLevel="0" collapsed="false">
      <c r="A28" s="26" t="s">
        <v>172</v>
      </c>
      <c r="B28" s="37" t="s">
        <v>154</v>
      </c>
      <c r="C28" s="99" t="s">
        <v>150</v>
      </c>
      <c r="D28" s="99" t="s">
        <v>159</v>
      </c>
      <c r="E28" s="63" t="s">
        <v>270</v>
      </c>
      <c r="F28" s="101" t="n">
        <v>46128</v>
      </c>
      <c r="G28" s="101" t="n">
        <v>46131</v>
      </c>
      <c r="H28" s="61" t="n">
        <v>3</v>
      </c>
      <c r="I28" s="152" t="s">
        <v>141</v>
      </c>
    </row>
    <row r="29" customFormat="false" ht="15" hidden="false" customHeight="true" outlineLevel="0" collapsed="false">
      <c r="A29" s="24" t="s">
        <v>176</v>
      </c>
      <c r="B29" s="37" t="s">
        <v>154</v>
      </c>
      <c r="C29" s="105" t="s">
        <v>149</v>
      </c>
      <c r="D29" s="105" t="s">
        <v>151</v>
      </c>
      <c r="E29" s="37" t="s">
        <v>267</v>
      </c>
      <c r="F29" s="106" t="n">
        <v>46128</v>
      </c>
      <c r="G29" s="106" t="n">
        <v>46130</v>
      </c>
      <c r="H29" s="57" t="n">
        <v>2</v>
      </c>
      <c r="I29" s="153" t="s">
        <v>141</v>
      </c>
    </row>
    <row r="30" customFormat="false" ht="15" hidden="false" customHeight="true" outlineLevel="0" collapsed="false">
      <c r="A30" s="26" t="s">
        <v>178</v>
      </c>
      <c r="B30" s="37" t="s">
        <v>154</v>
      </c>
      <c r="C30" s="99" t="s">
        <v>158</v>
      </c>
      <c r="D30" s="99" t="s">
        <v>151</v>
      </c>
      <c r="E30" s="37" t="s">
        <v>267</v>
      </c>
      <c r="F30" s="101" t="n">
        <v>46128</v>
      </c>
      <c r="G30" s="101" t="n">
        <v>46130</v>
      </c>
      <c r="H30" s="44" t="n">
        <v>2</v>
      </c>
      <c r="I30" s="152" t="s">
        <v>141</v>
      </c>
    </row>
    <row r="31" customFormat="false" ht="15" hidden="false" customHeight="true" outlineLevel="0" collapsed="false">
      <c r="A31" s="24" t="s">
        <v>182</v>
      </c>
      <c r="B31" s="37" t="s">
        <v>154</v>
      </c>
      <c r="C31" s="105" t="s">
        <v>158</v>
      </c>
      <c r="D31" s="105" t="s">
        <v>151</v>
      </c>
      <c r="E31" s="37" t="s">
        <v>267</v>
      </c>
      <c r="F31" s="106" t="n">
        <v>46128</v>
      </c>
      <c r="G31" s="106" t="n">
        <v>46129</v>
      </c>
      <c r="H31" s="57" t="n">
        <v>1</v>
      </c>
      <c r="I31" s="153" t="s">
        <v>141</v>
      </c>
    </row>
    <row r="32" customFormat="false" ht="15" hidden="false" customHeight="true" outlineLevel="0" collapsed="false">
      <c r="A32" s="26" t="s">
        <v>152</v>
      </c>
      <c r="B32" s="37" t="s">
        <v>154</v>
      </c>
      <c r="C32" s="99" t="s">
        <v>149</v>
      </c>
      <c r="D32" s="99" t="s">
        <v>151</v>
      </c>
      <c r="E32" s="111" t="s">
        <v>268</v>
      </c>
      <c r="F32" s="101" t="n">
        <v>46129</v>
      </c>
      <c r="G32" s="101" t="n">
        <v>46131</v>
      </c>
      <c r="H32" s="44" t="n">
        <v>2</v>
      </c>
      <c r="I32" s="152" t="s">
        <v>141</v>
      </c>
    </row>
    <row r="33" customFormat="false" ht="15" hidden="false" customHeight="true" outlineLevel="0" collapsed="false">
      <c r="A33" s="24" t="s">
        <v>164</v>
      </c>
      <c r="B33" s="37" t="s">
        <v>154</v>
      </c>
      <c r="C33" s="105" t="s">
        <v>151</v>
      </c>
      <c r="D33" s="105" t="s">
        <v>158</v>
      </c>
      <c r="E33" s="111" t="s">
        <v>268</v>
      </c>
      <c r="F33" s="106" t="n">
        <v>46129</v>
      </c>
      <c r="G33" s="106" t="n">
        <v>46131</v>
      </c>
      <c r="H33" s="57" t="n">
        <v>2</v>
      </c>
      <c r="I33" s="153" t="s">
        <v>141</v>
      </c>
    </row>
    <row r="34" customFormat="false" ht="15" hidden="false" customHeight="true" outlineLevel="0" collapsed="false">
      <c r="A34" s="26" t="s">
        <v>168</v>
      </c>
      <c r="B34" s="100" t="s">
        <v>148</v>
      </c>
      <c r="C34" s="99" t="s">
        <v>149</v>
      </c>
      <c r="D34" s="99" t="s">
        <v>151</v>
      </c>
      <c r="E34" s="111" t="s">
        <v>268</v>
      </c>
      <c r="F34" s="101" t="n">
        <v>46129</v>
      </c>
      <c r="G34" s="101" t="n">
        <v>46130</v>
      </c>
      <c r="H34" s="44" t="n">
        <v>1</v>
      </c>
      <c r="I34" s="152" t="s">
        <v>141</v>
      </c>
    </row>
    <row r="35" customFormat="false" ht="15" hidden="false" customHeight="true" outlineLevel="0" collapsed="false">
      <c r="A35" s="24" t="s">
        <v>170</v>
      </c>
      <c r="B35" s="37" t="s">
        <v>154</v>
      </c>
      <c r="C35" s="105" t="s">
        <v>149</v>
      </c>
      <c r="D35" s="105" t="s">
        <v>151</v>
      </c>
      <c r="E35" s="111" t="s">
        <v>268</v>
      </c>
      <c r="F35" s="106" t="n">
        <v>46129</v>
      </c>
      <c r="G35" s="106" t="n">
        <v>46130</v>
      </c>
      <c r="H35" s="57" t="n">
        <v>1</v>
      </c>
      <c r="I35" s="153" t="s">
        <v>141</v>
      </c>
    </row>
    <row r="36" customFormat="false" ht="15" hidden="false" customHeight="true" outlineLevel="0" collapsed="false">
      <c r="A36" s="26" t="s">
        <v>170</v>
      </c>
      <c r="B36" s="37" t="s">
        <v>154</v>
      </c>
      <c r="C36" s="99" t="s">
        <v>150</v>
      </c>
      <c r="D36" s="99" t="s">
        <v>159</v>
      </c>
      <c r="E36" s="63" t="s">
        <v>270</v>
      </c>
      <c r="F36" s="101" t="n">
        <v>46129</v>
      </c>
      <c r="G36" s="101" t="n">
        <v>46132</v>
      </c>
      <c r="H36" s="61" t="n">
        <v>3</v>
      </c>
      <c r="I36" s="152" t="s">
        <v>141</v>
      </c>
    </row>
    <row r="37" customFormat="false" ht="15" hidden="false" customHeight="true" outlineLevel="0" collapsed="false">
      <c r="A37" s="24" t="s">
        <v>174</v>
      </c>
      <c r="B37" s="110" t="s">
        <v>157</v>
      </c>
      <c r="C37" s="105" t="s">
        <v>151</v>
      </c>
      <c r="D37" s="105" t="s">
        <v>158</v>
      </c>
      <c r="E37" s="37" t="s">
        <v>267</v>
      </c>
      <c r="F37" s="106" t="n">
        <v>46129</v>
      </c>
      <c r="G37" s="106" t="n">
        <v>46131</v>
      </c>
      <c r="H37" s="57" t="n">
        <v>2</v>
      </c>
      <c r="I37" s="153" t="s">
        <v>141</v>
      </c>
    </row>
    <row r="38" customFormat="false" ht="15" hidden="false" customHeight="true" outlineLevel="0" collapsed="false">
      <c r="A38" s="26" t="s">
        <v>164</v>
      </c>
      <c r="B38" s="37" t="s">
        <v>154</v>
      </c>
      <c r="C38" s="99" t="s">
        <v>150</v>
      </c>
      <c r="D38" s="99" t="s">
        <v>159</v>
      </c>
      <c r="E38" s="63" t="s">
        <v>270</v>
      </c>
      <c r="F38" s="101" t="n">
        <v>46130</v>
      </c>
      <c r="G38" s="101" t="n">
        <v>46132</v>
      </c>
      <c r="H38" s="44" t="n">
        <v>2</v>
      </c>
      <c r="I38" s="152" t="s">
        <v>141</v>
      </c>
    </row>
    <row r="39" customFormat="false" ht="15" hidden="false" customHeight="true" outlineLevel="0" collapsed="false">
      <c r="A39" s="24" t="s">
        <v>166</v>
      </c>
      <c r="B39" s="37" t="s">
        <v>154</v>
      </c>
      <c r="C39" s="105" t="s">
        <v>159</v>
      </c>
      <c r="D39" s="105" t="s">
        <v>150</v>
      </c>
      <c r="E39" s="63" t="s">
        <v>270</v>
      </c>
      <c r="F39" s="106" t="n">
        <v>46130</v>
      </c>
      <c r="G39" s="106" t="n">
        <v>46131</v>
      </c>
      <c r="H39" s="57" t="n">
        <v>1</v>
      </c>
      <c r="I39" s="153" t="s">
        <v>141</v>
      </c>
    </row>
    <row r="40" customFormat="false" ht="15" hidden="false" customHeight="true" outlineLevel="0" collapsed="false">
      <c r="A40" s="26" t="s">
        <v>168</v>
      </c>
      <c r="B40" s="100" t="s">
        <v>148</v>
      </c>
      <c r="C40" s="99" t="s">
        <v>150</v>
      </c>
      <c r="D40" s="99" t="s">
        <v>159</v>
      </c>
      <c r="E40" s="63" t="s">
        <v>270</v>
      </c>
      <c r="F40" s="101" t="n">
        <v>46130</v>
      </c>
      <c r="G40" s="101" t="n">
        <v>46132</v>
      </c>
      <c r="H40" s="44" t="n">
        <v>2</v>
      </c>
      <c r="I40" s="152" t="s">
        <v>141</v>
      </c>
    </row>
    <row r="41" customFormat="false" ht="15" hidden="false" customHeight="true" outlineLevel="0" collapsed="false">
      <c r="A41" s="24" t="s">
        <v>182</v>
      </c>
      <c r="B41" s="37" t="s">
        <v>154</v>
      </c>
      <c r="C41" s="105" t="s">
        <v>158</v>
      </c>
      <c r="D41" s="105" t="s">
        <v>151</v>
      </c>
      <c r="E41" s="111" t="s">
        <v>268</v>
      </c>
      <c r="F41" s="106" t="n">
        <v>46130</v>
      </c>
      <c r="G41" s="106" t="n">
        <v>46131</v>
      </c>
      <c r="H41" s="57" t="n">
        <v>1</v>
      </c>
      <c r="I41" s="153" t="s">
        <v>141</v>
      </c>
    </row>
    <row r="42" customFormat="false" ht="15" hidden="false" customHeight="true" outlineLevel="0" collapsed="false">
      <c r="A42" s="26" t="s">
        <v>188</v>
      </c>
      <c r="B42" s="37" t="s">
        <v>154</v>
      </c>
      <c r="C42" s="99" t="s">
        <v>151</v>
      </c>
      <c r="D42" s="99" t="s">
        <v>158</v>
      </c>
      <c r="E42" s="37" t="s">
        <v>267</v>
      </c>
      <c r="F42" s="101" t="n">
        <v>46130</v>
      </c>
      <c r="G42" s="101" t="n">
        <v>46131</v>
      </c>
      <c r="H42" s="44" t="n">
        <v>1</v>
      </c>
      <c r="I42" s="152" t="s">
        <v>141</v>
      </c>
    </row>
    <row r="43" customFormat="false" ht="15" hidden="false" customHeight="true" outlineLevel="0" collapsed="false">
      <c r="A43" s="24" t="s">
        <v>190</v>
      </c>
      <c r="B43" s="37" t="s">
        <v>154</v>
      </c>
      <c r="C43" s="105" t="s">
        <v>158</v>
      </c>
      <c r="D43" s="105" t="s">
        <v>151</v>
      </c>
      <c r="E43" s="37" t="s">
        <v>267</v>
      </c>
      <c r="F43" s="106" t="n">
        <v>46130</v>
      </c>
      <c r="G43" s="106" t="n">
        <v>46132</v>
      </c>
      <c r="H43" s="57" t="n">
        <v>2</v>
      </c>
      <c r="I43" s="153" t="s">
        <v>141</v>
      </c>
    </row>
    <row r="44" customFormat="false" ht="15" hidden="false" customHeight="true" outlineLevel="0" collapsed="false">
      <c r="A44" s="26" t="s">
        <v>192</v>
      </c>
      <c r="B44" s="111" t="s">
        <v>194</v>
      </c>
      <c r="C44" s="99" t="s">
        <v>149</v>
      </c>
      <c r="D44" s="99" t="s">
        <v>151</v>
      </c>
      <c r="E44" s="37" t="s">
        <v>267</v>
      </c>
      <c r="F44" s="101" t="n">
        <v>46130</v>
      </c>
      <c r="G44" s="101" t="n">
        <v>46132</v>
      </c>
      <c r="H44" s="44" t="n">
        <v>2</v>
      </c>
      <c r="I44" s="152" t="s">
        <v>141</v>
      </c>
    </row>
    <row r="45" customFormat="false" ht="15" hidden="false" customHeight="true" outlineLevel="0" collapsed="false">
      <c r="A45" s="24" t="s">
        <v>180</v>
      </c>
      <c r="B45" s="100" t="s">
        <v>148</v>
      </c>
      <c r="C45" s="105" t="s">
        <v>150</v>
      </c>
      <c r="D45" s="105" t="s">
        <v>159</v>
      </c>
      <c r="E45" s="63" t="s">
        <v>270</v>
      </c>
      <c r="F45" s="106" t="n">
        <v>46131</v>
      </c>
      <c r="G45" s="106" t="n">
        <v>46136</v>
      </c>
      <c r="H45" s="50" t="n">
        <v>5</v>
      </c>
      <c r="I45" s="153" t="s">
        <v>141</v>
      </c>
    </row>
    <row r="46" customFormat="false" ht="15" hidden="false" customHeight="true" outlineLevel="0" collapsed="false">
      <c r="A46" s="26" t="s">
        <v>182</v>
      </c>
      <c r="B46" s="37" t="s">
        <v>154</v>
      </c>
      <c r="C46" s="99" t="s">
        <v>150</v>
      </c>
      <c r="D46" s="99" t="s">
        <v>159</v>
      </c>
      <c r="E46" s="63" t="s">
        <v>270</v>
      </c>
      <c r="F46" s="101" t="n">
        <v>46131</v>
      </c>
      <c r="G46" s="101" t="n">
        <v>46133</v>
      </c>
      <c r="H46" s="44" t="n">
        <v>2</v>
      </c>
      <c r="I46" s="152" t="s">
        <v>141</v>
      </c>
    </row>
    <row r="47" customFormat="false" ht="15" hidden="false" customHeight="true" outlineLevel="0" collapsed="false">
      <c r="A47" s="24" t="s">
        <v>174</v>
      </c>
      <c r="B47" s="110" t="s">
        <v>157</v>
      </c>
      <c r="C47" s="105" t="s">
        <v>151</v>
      </c>
      <c r="D47" s="105" t="s">
        <v>158</v>
      </c>
      <c r="E47" s="111" t="s">
        <v>268</v>
      </c>
      <c r="F47" s="106" t="n">
        <v>46132</v>
      </c>
      <c r="G47" s="106" t="n">
        <v>46133</v>
      </c>
      <c r="H47" s="57" t="n">
        <v>1</v>
      </c>
      <c r="I47" s="153" t="s">
        <v>141</v>
      </c>
    </row>
    <row r="48" customFormat="false" ht="15" hidden="false" customHeight="true" outlineLevel="0" collapsed="false">
      <c r="A48" s="26" t="s">
        <v>176</v>
      </c>
      <c r="B48" s="37" t="s">
        <v>154</v>
      </c>
      <c r="C48" s="99" t="s">
        <v>149</v>
      </c>
      <c r="D48" s="99" t="s">
        <v>151</v>
      </c>
      <c r="E48" s="111" t="s">
        <v>268</v>
      </c>
      <c r="F48" s="101" t="n">
        <v>46132</v>
      </c>
      <c r="G48" s="101" t="n">
        <v>46133</v>
      </c>
      <c r="H48" s="44" t="n">
        <v>1</v>
      </c>
      <c r="I48" s="152" t="s">
        <v>141</v>
      </c>
    </row>
    <row r="49" customFormat="false" ht="15" hidden="false" customHeight="true" outlineLevel="0" collapsed="false">
      <c r="A49" s="24" t="s">
        <v>176</v>
      </c>
      <c r="B49" s="37" t="s">
        <v>154</v>
      </c>
      <c r="C49" s="105" t="s">
        <v>159</v>
      </c>
      <c r="D49" s="105" t="s">
        <v>150</v>
      </c>
      <c r="E49" s="63" t="s">
        <v>270</v>
      </c>
      <c r="F49" s="106" t="n">
        <v>46132</v>
      </c>
      <c r="G49" s="106" t="n">
        <v>46134</v>
      </c>
      <c r="H49" s="57" t="n">
        <v>2</v>
      </c>
      <c r="I49" s="153" t="s">
        <v>141</v>
      </c>
    </row>
    <row r="50" customFormat="false" ht="15" hidden="false" customHeight="true" outlineLevel="0" collapsed="false">
      <c r="A50" s="26" t="s">
        <v>178</v>
      </c>
      <c r="B50" s="37" t="s">
        <v>154</v>
      </c>
      <c r="C50" s="99" t="s">
        <v>158</v>
      </c>
      <c r="D50" s="99" t="s">
        <v>151</v>
      </c>
      <c r="E50" s="111" t="s">
        <v>268</v>
      </c>
      <c r="F50" s="101" t="n">
        <v>46132</v>
      </c>
      <c r="G50" s="101" t="n">
        <v>46133</v>
      </c>
      <c r="H50" s="44" t="n">
        <v>1</v>
      </c>
      <c r="I50" s="152" t="s">
        <v>141</v>
      </c>
    </row>
    <row r="51" customFormat="false" ht="15" hidden="false" customHeight="true" outlineLevel="0" collapsed="false">
      <c r="A51" s="24" t="s">
        <v>184</v>
      </c>
      <c r="B51" s="37" t="s">
        <v>154</v>
      </c>
      <c r="C51" s="105" t="s">
        <v>149</v>
      </c>
      <c r="D51" s="105" t="s">
        <v>151</v>
      </c>
      <c r="E51" s="37" t="s">
        <v>267</v>
      </c>
      <c r="F51" s="106" t="n">
        <v>46132</v>
      </c>
      <c r="G51" s="106" t="n">
        <v>46133</v>
      </c>
      <c r="H51" s="57" t="n">
        <v>1</v>
      </c>
      <c r="I51" s="153" t="s">
        <v>141</v>
      </c>
    </row>
    <row r="52" customFormat="false" ht="15" hidden="false" customHeight="true" outlineLevel="0" collapsed="false">
      <c r="A52" s="26" t="s">
        <v>186</v>
      </c>
      <c r="B52" s="37" t="s">
        <v>154</v>
      </c>
      <c r="C52" s="99" t="s">
        <v>158</v>
      </c>
      <c r="D52" s="99" t="s">
        <v>151</v>
      </c>
      <c r="E52" s="37" t="s">
        <v>267</v>
      </c>
      <c r="F52" s="101" t="n">
        <v>46132</v>
      </c>
      <c r="G52" s="101" t="n">
        <v>46134</v>
      </c>
      <c r="H52" s="44" t="n">
        <v>2</v>
      </c>
      <c r="I52" s="152" t="s">
        <v>141</v>
      </c>
    </row>
    <row r="53" customFormat="false" ht="15" hidden="false" customHeight="true" outlineLevel="0" collapsed="false">
      <c r="A53" s="24" t="s">
        <v>188</v>
      </c>
      <c r="B53" s="37" t="s">
        <v>154</v>
      </c>
      <c r="C53" s="105" t="s">
        <v>151</v>
      </c>
      <c r="D53" s="105" t="s">
        <v>158</v>
      </c>
      <c r="E53" s="111" t="s">
        <v>268</v>
      </c>
      <c r="F53" s="106" t="n">
        <v>46132</v>
      </c>
      <c r="G53" s="106" t="n">
        <v>46133</v>
      </c>
      <c r="H53" s="57" t="n">
        <v>1</v>
      </c>
      <c r="I53" s="153" t="s">
        <v>141</v>
      </c>
    </row>
    <row r="54" customFormat="false" ht="15" hidden="false" customHeight="true" outlineLevel="0" collapsed="false">
      <c r="A54" s="26" t="s">
        <v>199</v>
      </c>
      <c r="B54" s="37" t="s">
        <v>154</v>
      </c>
      <c r="C54" s="99" t="s">
        <v>151</v>
      </c>
      <c r="D54" s="99" t="s">
        <v>158</v>
      </c>
      <c r="E54" s="37" t="s">
        <v>267</v>
      </c>
      <c r="F54" s="101" t="n">
        <v>46132</v>
      </c>
      <c r="G54" s="101" t="n">
        <v>46133</v>
      </c>
      <c r="H54" s="44" t="n">
        <v>1</v>
      </c>
      <c r="I54" s="152" t="s">
        <v>141</v>
      </c>
    </row>
    <row r="55" customFormat="false" ht="15" hidden="false" customHeight="true" outlineLevel="0" collapsed="false">
      <c r="A55" s="24" t="s">
        <v>178</v>
      </c>
      <c r="B55" s="37" t="s">
        <v>154</v>
      </c>
      <c r="C55" s="105" t="s">
        <v>150</v>
      </c>
      <c r="D55" s="105" t="s">
        <v>159</v>
      </c>
      <c r="E55" s="63" t="s">
        <v>270</v>
      </c>
      <c r="F55" s="106" t="n">
        <v>46133</v>
      </c>
      <c r="G55" s="106" t="n">
        <v>46135</v>
      </c>
      <c r="H55" s="57" t="n">
        <v>2</v>
      </c>
      <c r="I55" s="153" t="s">
        <v>141</v>
      </c>
    </row>
    <row r="56" customFormat="false" ht="15" hidden="false" customHeight="true" outlineLevel="0" collapsed="false">
      <c r="A56" s="26" t="s">
        <v>180</v>
      </c>
      <c r="B56" s="100" t="s">
        <v>148</v>
      </c>
      <c r="C56" s="99" t="s">
        <v>158</v>
      </c>
      <c r="D56" s="99" t="s">
        <v>151</v>
      </c>
      <c r="E56" s="111" t="s">
        <v>268</v>
      </c>
      <c r="F56" s="101" t="n">
        <v>46133</v>
      </c>
      <c r="G56" s="101" t="n">
        <v>46134</v>
      </c>
      <c r="H56" s="44" t="n">
        <v>1</v>
      </c>
      <c r="I56" s="152" t="s">
        <v>141</v>
      </c>
    </row>
    <row r="57" customFormat="false" ht="15" hidden="false" customHeight="true" outlineLevel="0" collapsed="false">
      <c r="A57" s="24" t="s">
        <v>195</v>
      </c>
      <c r="B57" s="37" t="s">
        <v>154</v>
      </c>
      <c r="C57" s="105" t="s">
        <v>158</v>
      </c>
      <c r="D57" s="105" t="s">
        <v>151</v>
      </c>
      <c r="E57" s="37" t="s">
        <v>267</v>
      </c>
      <c r="F57" s="106" t="n">
        <v>46133</v>
      </c>
      <c r="G57" s="106" t="n">
        <v>46134</v>
      </c>
      <c r="H57" s="57" t="n">
        <v>1</v>
      </c>
      <c r="I57" s="153" t="s">
        <v>141</v>
      </c>
    </row>
    <row r="58" customFormat="false" ht="15" hidden="false" customHeight="true" outlineLevel="0" collapsed="false">
      <c r="A58" s="26" t="s">
        <v>201</v>
      </c>
      <c r="B58" s="100" t="s">
        <v>148</v>
      </c>
      <c r="C58" s="99" t="s">
        <v>149</v>
      </c>
      <c r="D58" s="99" t="s">
        <v>151</v>
      </c>
      <c r="E58" s="37" t="s">
        <v>267</v>
      </c>
      <c r="F58" s="101" t="n">
        <v>46133</v>
      </c>
      <c r="G58" s="101" t="n">
        <v>46135</v>
      </c>
      <c r="H58" s="44" t="n">
        <v>2</v>
      </c>
      <c r="I58" s="152" t="s">
        <v>141</v>
      </c>
    </row>
    <row r="59" customFormat="false" ht="15" hidden="false" customHeight="true" outlineLevel="0" collapsed="false">
      <c r="A59" s="24" t="s">
        <v>174</v>
      </c>
      <c r="B59" s="110" t="s">
        <v>157</v>
      </c>
      <c r="C59" s="105" t="s">
        <v>159</v>
      </c>
      <c r="D59" s="105" t="s">
        <v>150</v>
      </c>
      <c r="E59" s="63" t="s">
        <v>270</v>
      </c>
      <c r="F59" s="106" t="n">
        <v>46134</v>
      </c>
      <c r="G59" s="106" t="n">
        <v>46135</v>
      </c>
      <c r="H59" s="57" t="n">
        <v>1</v>
      </c>
      <c r="I59" s="153" t="s">
        <v>141</v>
      </c>
    </row>
    <row r="60" customFormat="false" ht="15" hidden="false" customHeight="true" outlineLevel="0" collapsed="false">
      <c r="A60" s="26" t="s">
        <v>188</v>
      </c>
      <c r="B60" s="37" t="s">
        <v>154</v>
      </c>
      <c r="C60" s="99" t="s">
        <v>150</v>
      </c>
      <c r="D60" s="99" t="s">
        <v>159</v>
      </c>
      <c r="E60" s="63" t="s">
        <v>270</v>
      </c>
      <c r="F60" s="101" t="n">
        <v>46134</v>
      </c>
      <c r="G60" s="101" t="n">
        <v>46135</v>
      </c>
      <c r="H60" s="44" t="n">
        <v>1</v>
      </c>
      <c r="I60" s="152" t="s">
        <v>141</v>
      </c>
    </row>
    <row r="61" customFormat="false" ht="15" hidden="false" customHeight="true" outlineLevel="0" collapsed="false">
      <c r="A61" s="24" t="s">
        <v>190</v>
      </c>
      <c r="B61" s="37" t="s">
        <v>154</v>
      </c>
      <c r="C61" s="105" t="s">
        <v>158</v>
      </c>
      <c r="D61" s="105" t="s">
        <v>151</v>
      </c>
      <c r="E61" s="111" t="s">
        <v>268</v>
      </c>
      <c r="F61" s="106" t="n">
        <v>46134</v>
      </c>
      <c r="G61" s="106" t="n">
        <v>46135</v>
      </c>
      <c r="H61" s="57" t="n">
        <v>1</v>
      </c>
      <c r="I61" s="153" t="s">
        <v>141</v>
      </c>
    </row>
    <row r="62" customFormat="false" ht="15" hidden="false" customHeight="true" outlineLevel="0" collapsed="false">
      <c r="A62" s="26" t="s">
        <v>192</v>
      </c>
      <c r="B62" s="111" t="s">
        <v>194</v>
      </c>
      <c r="C62" s="99" t="s">
        <v>149</v>
      </c>
      <c r="D62" s="99" t="s">
        <v>151</v>
      </c>
      <c r="E62" s="111" t="s">
        <v>268</v>
      </c>
      <c r="F62" s="101" t="n">
        <v>46134</v>
      </c>
      <c r="G62" s="101" t="n">
        <v>46135</v>
      </c>
      <c r="H62" s="44" t="n">
        <v>1</v>
      </c>
      <c r="I62" s="152" t="s">
        <v>141</v>
      </c>
    </row>
    <row r="63" customFormat="false" ht="15" hidden="false" customHeight="true" outlineLevel="0" collapsed="false">
      <c r="A63" s="24" t="s">
        <v>197</v>
      </c>
      <c r="B63" s="110" t="s">
        <v>157</v>
      </c>
      <c r="C63" s="105" t="s">
        <v>151</v>
      </c>
      <c r="D63" s="105" t="s">
        <v>158</v>
      </c>
      <c r="E63" s="37" t="s">
        <v>267</v>
      </c>
      <c r="F63" s="106" t="n">
        <v>46134</v>
      </c>
      <c r="G63" s="106" t="n">
        <v>46136</v>
      </c>
      <c r="H63" s="57" t="n">
        <v>2</v>
      </c>
      <c r="I63" s="153" t="s">
        <v>141</v>
      </c>
    </row>
    <row r="64" customFormat="false" ht="15" hidden="false" customHeight="true" outlineLevel="0" collapsed="false">
      <c r="A64" s="26" t="s">
        <v>184</v>
      </c>
      <c r="B64" s="37" t="s">
        <v>154</v>
      </c>
      <c r="C64" s="99" t="s">
        <v>149</v>
      </c>
      <c r="D64" s="99" t="s">
        <v>151</v>
      </c>
      <c r="E64" s="111" t="s">
        <v>268</v>
      </c>
      <c r="F64" s="101" t="n">
        <v>46135</v>
      </c>
      <c r="G64" s="101" t="n">
        <v>46137</v>
      </c>
      <c r="H64" s="44" t="n">
        <v>2</v>
      </c>
      <c r="I64" s="152" t="s">
        <v>141</v>
      </c>
    </row>
    <row r="65" customFormat="false" ht="15" hidden="false" customHeight="true" outlineLevel="0" collapsed="false">
      <c r="A65" s="24" t="s">
        <v>199</v>
      </c>
      <c r="B65" s="37" t="s">
        <v>154</v>
      </c>
      <c r="C65" s="105" t="s">
        <v>151</v>
      </c>
      <c r="D65" s="105" t="s">
        <v>158</v>
      </c>
      <c r="E65" s="111" t="s">
        <v>268</v>
      </c>
      <c r="F65" s="106" t="n">
        <v>46135</v>
      </c>
      <c r="G65" s="106" t="n">
        <v>46137</v>
      </c>
      <c r="H65" s="57" t="n">
        <v>2</v>
      </c>
      <c r="I65" s="153" t="s">
        <v>141</v>
      </c>
    </row>
    <row r="67" customFormat="false" ht="15" hidden="false" customHeight="true" outlineLevel="0" collapsed="false">
      <c r="A67" s="35" t="s">
        <v>375</v>
      </c>
      <c r="B67" s="35"/>
      <c r="C67" s="35"/>
      <c r="D67" s="35"/>
      <c r="E67" s="35"/>
    </row>
    <row r="68" customFormat="false" ht="15" hidden="false" customHeight="true" outlineLevel="0" collapsed="false">
      <c r="A68" s="67" t="s">
        <v>376</v>
      </c>
      <c r="B68" s="67"/>
      <c r="C68" s="67"/>
      <c r="D68" s="154" t="n">
        <f aca="false">COUNTA(A6:A66)</f>
        <v>60</v>
      </c>
      <c r="E68" s="154"/>
    </row>
    <row r="69" customFormat="false" ht="15" hidden="false" customHeight="true" outlineLevel="0" collapsed="false">
      <c r="A69" s="26" t="s">
        <v>93</v>
      </c>
      <c r="B69" s="26"/>
      <c r="C69" s="26"/>
      <c r="D69" s="74" t="n">
        <f aca="false">IFERROR(AVERAGEIF(H6:H66,"&gt;0"),0)</f>
        <v>1.75</v>
      </c>
      <c r="E69" s="74"/>
    </row>
    <row r="70" customFormat="false" ht="15" hidden="false" customHeight="true" outlineLevel="0" collapsed="false">
      <c r="A70" s="67" t="s">
        <v>377</v>
      </c>
      <c r="B70" s="67"/>
      <c r="C70" s="67"/>
      <c r="D70" s="154" t="n">
        <f aca="false">COUNTIF(H6:H66,"&gt;2")</f>
        <v>5</v>
      </c>
      <c r="E70" s="154"/>
    </row>
    <row r="71" customFormat="false" ht="15" hidden="false" customHeight="true" outlineLevel="0" collapsed="false">
      <c r="A71" s="26" t="s">
        <v>378</v>
      </c>
      <c r="B71" s="26"/>
      <c r="C71" s="26"/>
      <c r="D71" s="74" t="n">
        <f aca="false">COUNTIF(I6:I66,"Dang Review")</f>
        <v>0</v>
      </c>
      <c r="E71" s="74"/>
    </row>
  </sheetData>
  <mergeCells count="11">
    <mergeCell ref="A1:I1"/>
    <mergeCell ref="A2:I3"/>
    <mergeCell ref="A67:E67"/>
    <mergeCell ref="A68:C68"/>
    <mergeCell ref="D68:E68"/>
    <mergeCell ref="A69:C69"/>
    <mergeCell ref="D69:E69"/>
    <mergeCell ref="A70:C70"/>
    <mergeCell ref="D70:E70"/>
    <mergeCell ref="A71:C71"/>
    <mergeCell ref="D71:E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5A5A6"/>
    <pageSetUpPr fitToPage="false"/>
  </sheetPr>
  <dimension ref="A1:G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87" width="95"/>
  </cols>
  <sheetData>
    <row r="1" customFormat="false" ht="39.75" hidden="false" customHeight="true" outlineLevel="0" collapsed="false">
      <c r="A1" s="155" t="s">
        <v>379</v>
      </c>
      <c r="B1" s="155"/>
      <c r="C1" s="155"/>
      <c r="D1" s="155"/>
      <c r="E1" s="155"/>
      <c r="F1" s="155"/>
      <c r="G1" s="155"/>
    </row>
    <row r="3" customFormat="false" ht="21.75" hidden="false" customHeight="true" outlineLevel="0" collapsed="false">
      <c r="A3" s="156" t="s">
        <v>380</v>
      </c>
      <c r="B3" s="156"/>
      <c r="C3" s="156"/>
      <c r="D3" s="156"/>
      <c r="E3" s="156"/>
      <c r="F3" s="156"/>
      <c r="G3" s="156"/>
    </row>
    <row r="4" customFormat="false" ht="18" hidden="false" customHeight="true" outlineLevel="0" collapsed="false">
      <c r="A4" s="157" t="s">
        <v>381</v>
      </c>
      <c r="B4" s="157"/>
      <c r="C4" s="157"/>
      <c r="D4" s="157"/>
      <c r="E4" s="157"/>
      <c r="F4" s="157"/>
      <c r="G4" s="157"/>
    </row>
    <row r="5" customFormat="false" ht="18" hidden="false" customHeight="true" outlineLevel="0" collapsed="false">
      <c r="A5" s="158" t="s">
        <v>382</v>
      </c>
      <c r="B5" s="158"/>
      <c r="C5" s="158"/>
      <c r="D5" s="158"/>
      <c r="E5" s="158"/>
      <c r="F5" s="158"/>
      <c r="G5" s="158"/>
    </row>
    <row r="6" customFormat="false" ht="18" hidden="false" customHeight="true" outlineLevel="0" collapsed="false">
      <c r="A6" s="157" t="s">
        <v>383</v>
      </c>
      <c r="B6" s="157"/>
      <c r="C6" s="157"/>
      <c r="D6" s="157"/>
      <c r="E6" s="157"/>
      <c r="F6" s="157"/>
      <c r="G6" s="157"/>
    </row>
    <row r="7" customFormat="false" ht="18" hidden="false" customHeight="true" outlineLevel="0" collapsed="false">
      <c r="A7" s="158" t="s">
        <v>384</v>
      </c>
      <c r="B7" s="158"/>
      <c r="C7" s="158"/>
      <c r="D7" s="158"/>
      <c r="E7" s="158"/>
      <c r="F7" s="158"/>
      <c r="G7" s="158"/>
    </row>
    <row r="9" customFormat="false" ht="21.75" hidden="false" customHeight="true" outlineLevel="0" collapsed="false">
      <c r="A9" s="159" t="s">
        <v>385</v>
      </c>
      <c r="B9" s="159"/>
      <c r="C9" s="159"/>
      <c r="D9" s="159"/>
      <c r="E9" s="159"/>
      <c r="F9" s="159"/>
      <c r="G9" s="159"/>
    </row>
    <row r="10" customFormat="false" ht="18" hidden="false" customHeight="true" outlineLevel="0" collapsed="false">
      <c r="A10" s="157" t="s">
        <v>386</v>
      </c>
      <c r="B10" s="157"/>
      <c r="C10" s="157"/>
      <c r="D10" s="157"/>
      <c r="E10" s="157"/>
      <c r="F10" s="157"/>
      <c r="G10" s="157"/>
    </row>
    <row r="11" customFormat="false" ht="18" hidden="false" customHeight="true" outlineLevel="0" collapsed="false">
      <c r="A11" s="158" t="s">
        <v>387</v>
      </c>
      <c r="B11" s="158"/>
      <c r="C11" s="158"/>
      <c r="D11" s="158"/>
      <c r="E11" s="158"/>
      <c r="F11" s="158"/>
      <c r="G11" s="158"/>
    </row>
    <row r="12" customFormat="false" ht="18" hidden="false" customHeight="true" outlineLevel="0" collapsed="false">
      <c r="A12" s="157" t="s">
        <v>388</v>
      </c>
      <c r="B12" s="157"/>
      <c r="C12" s="157"/>
      <c r="D12" s="157"/>
      <c r="E12" s="157"/>
      <c r="F12" s="157"/>
      <c r="G12" s="157"/>
    </row>
    <row r="13" customFormat="false" ht="18" hidden="false" customHeight="true" outlineLevel="0" collapsed="false">
      <c r="A13" s="158" t="s">
        <v>389</v>
      </c>
      <c r="B13" s="158"/>
      <c r="C13" s="158"/>
      <c r="D13" s="158"/>
      <c r="E13" s="158"/>
      <c r="F13" s="158"/>
      <c r="G13" s="158"/>
    </row>
    <row r="15" customFormat="false" ht="21.75" hidden="false" customHeight="true" outlineLevel="0" collapsed="false">
      <c r="A15" s="160" t="s">
        <v>390</v>
      </c>
      <c r="B15" s="160"/>
      <c r="C15" s="160"/>
      <c r="D15" s="160"/>
      <c r="E15" s="160"/>
      <c r="F15" s="160"/>
      <c r="G15" s="160"/>
    </row>
    <row r="16" customFormat="false" ht="18" hidden="false" customHeight="true" outlineLevel="0" collapsed="false">
      <c r="A16" s="157" t="s">
        <v>391</v>
      </c>
      <c r="B16" s="157"/>
      <c r="C16" s="157"/>
      <c r="D16" s="157"/>
      <c r="E16" s="157"/>
      <c r="F16" s="157"/>
      <c r="G16" s="157"/>
    </row>
    <row r="17" customFormat="false" ht="18" hidden="false" customHeight="true" outlineLevel="0" collapsed="false">
      <c r="A17" s="158" t="s">
        <v>392</v>
      </c>
      <c r="B17" s="158"/>
      <c r="C17" s="158"/>
      <c r="D17" s="158"/>
      <c r="E17" s="158"/>
      <c r="F17" s="158"/>
      <c r="G17" s="158"/>
    </row>
    <row r="18" customFormat="false" ht="18" hidden="false" customHeight="true" outlineLevel="0" collapsed="false">
      <c r="A18" s="157" t="s">
        <v>393</v>
      </c>
      <c r="B18" s="157"/>
      <c r="C18" s="157"/>
      <c r="D18" s="157"/>
      <c r="E18" s="157"/>
      <c r="F18" s="157"/>
      <c r="G18" s="157"/>
    </row>
    <row r="19" customFormat="false" ht="18" hidden="false" customHeight="true" outlineLevel="0" collapsed="false">
      <c r="A19" s="158" t="s">
        <v>394</v>
      </c>
      <c r="B19" s="158"/>
      <c r="C19" s="158"/>
      <c r="D19" s="158"/>
      <c r="E19" s="158"/>
      <c r="F19" s="158"/>
      <c r="G19" s="158"/>
    </row>
    <row r="21" customFormat="false" ht="21.75" hidden="false" customHeight="true" outlineLevel="0" collapsed="false">
      <c r="A21" s="161" t="s">
        <v>395</v>
      </c>
      <c r="B21" s="161"/>
      <c r="C21" s="161"/>
      <c r="D21" s="161"/>
      <c r="E21" s="161"/>
      <c r="F21" s="161"/>
      <c r="G21" s="161"/>
    </row>
    <row r="22" customFormat="false" ht="18" hidden="false" customHeight="true" outlineLevel="0" collapsed="false">
      <c r="A22" s="157" t="s">
        <v>396</v>
      </c>
      <c r="B22" s="157"/>
      <c r="C22" s="157"/>
      <c r="D22" s="157"/>
      <c r="E22" s="157"/>
      <c r="F22" s="157"/>
      <c r="G22" s="157"/>
    </row>
    <row r="23" customFormat="false" ht="18" hidden="false" customHeight="true" outlineLevel="0" collapsed="false">
      <c r="A23" s="158" t="s">
        <v>397</v>
      </c>
      <c r="B23" s="158"/>
      <c r="C23" s="158"/>
      <c r="D23" s="158"/>
      <c r="E23" s="158"/>
      <c r="F23" s="158"/>
      <c r="G23" s="158"/>
    </row>
    <row r="24" customFormat="false" ht="18" hidden="false" customHeight="true" outlineLevel="0" collapsed="false">
      <c r="A24" s="157" t="s">
        <v>398</v>
      </c>
      <c r="B24" s="157"/>
      <c r="C24" s="157"/>
      <c r="D24" s="157"/>
      <c r="E24" s="157"/>
      <c r="F24" s="157"/>
      <c r="G24" s="157"/>
    </row>
    <row r="25" customFormat="false" ht="18" hidden="false" customHeight="true" outlineLevel="0" collapsed="false">
      <c r="A25" s="158" t="s">
        <v>399</v>
      </c>
      <c r="B25" s="158"/>
      <c r="C25" s="158"/>
      <c r="D25" s="158"/>
      <c r="E25" s="158"/>
      <c r="F25" s="158"/>
      <c r="G25" s="158"/>
    </row>
    <row r="26" customFormat="false" ht="18" hidden="false" customHeight="true" outlineLevel="0" collapsed="false">
      <c r="A26" s="157" t="s">
        <v>400</v>
      </c>
      <c r="B26" s="157"/>
      <c r="C26" s="157"/>
      <c r="D26" s="157"/>
      <c r="E26" s="157"/>
      <c r="F26" s="157"/>
      <c r="G26" s="157"/>
    </row>
    <row r="27" customFormat="false" ht="18" hidden="false" customHeight="true" outlineLevel="0" collapsed="false">
      <c r="A27" s="158" t="s">
        <v>401</v>
      </c>
      <c r="B27" s="158"/>
      <c r="C27" s="158"/>
      <c r="D27" s="158"/>
      <c r="E27" s="158"/>
      <c r="F27" s="158"/>
      <c r="G27" s="158"/>
    </row>
    <row r="28" customFormat="false" ht="18" hidden="false" customHeight="true" outlineLevel="0" collapsed="false">
      <c r="A28" s="157" t="s">
        <v>402</v>
      </c>
      <c r="B28" s="157"/>
      <c r="C28" s="157"/>
      <c r="D28" s="157"/>
      <c r="E28" s="157"/>
      <c r="F28" s="157"/>
      <c r="G28" s="157"/>
    </row>
    <row r="29" customFormat="false" ht="18" hidden="false" customHeight="true" outlineLevel="0" collapsed="false">
      <c r="A29" s="158" t="s">
        <v>403</v>
      </c>
      <c r="B29" s="158"/>
      <c r="C29" s="158"/>
      <c r="D29" s="158"/>
      <c r="E29" s="158"/>
      <c r="F29" s="158"/>
      <c r="G29" s="158"/>
    </row>
    <row r="30" customFormat="false" ht="18" hidden="false" customHeight="true" outlineLevel="0" collapsed="false">
      <c r="A30" s="157" t="s">
        <v>404</v>
      </c>
      <c r="B30" s="157"/>
      <c r="C30" s="157"/>
      <c r="D30" s="157"/>
      <c r="E30" s="157"/>
      <c r="F30" s="157"/>
      <c r="G30" s="157"/>
    </row>
    <row r="32" customFormat="false" ht="21.75" hidden="false" customHeight="true" outlineLevel="0" collapsed="false">
      <c r="A32" s="160" t="s">
        <v>405</v>
      </c>
      <c r="B32" s="160"/>
      <c r="C32" s="160"/>
      <c r="D32" s="160"/>
      <c r="E32" s="160"/>
      <c r="F32" s="160"/>
      <c r="G32" s="160"/>
    </row>
    <row r="33" customFormat="false" ht="18" hidden="false" customHeight="true" outlineLevel="0" collapsed="false">
      <c r="A33" s="158" t="s">
        <v>406</v>
      </c>
      <c r="B33" s="158"/>
      <c r="C33" s="158"/>
      <c r="D33" s="158"/>
      <c r="E33" s="158"/>
      <c r="F33" s="158"/>
      <c r="G33" s="158"/>
    </row>
    <row r="34" customFormat="false" ht="18" hidden="false" customHeight="true" outlineLevel="0" collapsed="false">
      <c r="A34" s="157" t="s">
        <v>407</v>
      </c>
      <c r="B34" s="157"/>
      <c r="C34" s="157"/>
      <c r="D34" s="157"/>
      <c r="E34" s="157"/>
      <c r="F34" s="157"/>
      <c r="G34" s="157"/>
    </row>
    <row r="35" customFormat="false" ht="18" hidden="false" customHeight="true" outlineLevel="0" collapsed="false">
      <c r="A35" s="158" t="s">
        <v>408</v>
      </c>
      <c r="B35" s="158"/>
      <c r="C35" s="158"/>
      <c r="D35" s="158"/>
      <c r="E35" s="158"/>
      <c r="F35" s="158"/>
      <c r="G35" s="158"/>
    </row>
    <row r="37" customFormat="false" ht="21.75" hidden="false" customHeight="true" outlineLevel="0" collapsed="false">
      <c r="A37" s="162" t="s">
        <v>409</v>
      </c>
      <c r="B37" s="162"/>
      <c r="C37" s="162"/>
      <c r="D37" s="162"/>
      <c r="E37" s="162"/>
      <c r="F37" s="162"/>
      <c r="G37" s="162"/>
    </row>
    <row r="38" customFormat="false" ht="18" hidden="false" customHeight="true" outlineLevel="0" collapsed="false">
      <c r="A38" s="157" t="s">
        <v>410</v>
      </c>
      <c r="B38" s="157"/>
      <c r="C38" s="157"/>
      <c r="D38" s="157"/>
      <c r="E38" s="157"/>
      <c r="F38" s="157"/>
      <c r="G38" s="157"/>
    </row>
    <row r="39" customFormat="false" ht="18" hidden="false" customHeight="true" outlineLevel="0" collapsed="false">
      <c r="A39" s="158" t="s">
        <v>411</v>
      </c>
      <c r="B39" s="158"/>
      <c r="C39" s="158"/>
      <c r="D39" s="158"/>
      <c r="E39" s="158"/>
      <c r="F39" s="158"/>
      <c r="G39" s="158"/>
    </row>
    <row r="41" customFormat="false" ht="21.75" hidden="false" customHeight="true" outlineLevel="0" collapsed="false">
      <c r="A41" s="156" t="s">
        <v>412</v>
      </c>
      <c r="B41" s="156"/>
      <c r="C41" s="156"/>
      <c r="D41" s="156"/>
      <c r="E41" s="156"/>
      <c r="F41" s="156"/>
      <c r="G41" s="156"/>
    </row>
    <row r="42" customFormat="false" ht="18" hidden="false" customHeight="true" outlineLevel="0" collapsed="false">
      <c r="A42" s="157" t="s">
        <v>413</v>
      </c>
      <c r="B42" s="157"/>
      <c r="C42" s="157"/>
      <c r="D42" s="157"/>
      <c r="E42" s="157"/>
      <c r="F42" s="157"/>
      <c r="G42" s="157"/>
    </row>
    <row r="43" customFormat="false" ht="18" hidden="false" customHeight="true" outlineLevel="0" collapsed="false">
      <c r="A43" s="158" t="s">
        <v>414</v>
      </c>
      <c r="B43" s="158"/>
      <c r="C43" s="158"/>
      <c r="D43" s="158"/>
      <c r="E43" s="158"/>
      <c r="F43" s="158"/>
      <c r="G43" s="158"/>
    </row>
    <row r="44" customFormat="false" ht="18" hidden="false" customHeight="true" outlineLevel="0" collapsed="false">
      <c r="A44" s="157" t="s">
        <v>415</v>
      </c>
      <c r="B44" s="157"/>
      <c r="C44" s="157"/>
      <c r="D44" s="157"/>
      <c r="E44" s="157"/>
      <c r="F44" s="157"/>
      <c r="G44" s="157"/>
    </row>
    <row r="46" customFormat="false" ht="21.75" hidden="false" customHeight="true" outlineLevel="0" collapsed="false">
      <c r="A46" s="163" t="s">
        <v>416</v>
      </c>
      <c r="B46" s="163"/>
      <c r="C46" s="163"/>
      <c r="D46" s="163"/>
      <c r="E46" s="163"/>
      <c r="F46" s="163"/>
      <c r="G46" s="163"/>
    </row>
    <row r="47" customFormat="false" ht="18" hidden="false" customHeight="true" outlineLevel="0" collapsed="false">
      <c r="A47" s="158" t="s">
        <v>417</v>
      </c>
      <c r="B47" s="158"/>
      <c r="C47" s="158"/>
      <c r="D47" s="158"/>
      <c r="E47" s="158"/>
      <c r="F47" s="158"/>
      <c r="G47" s="158"/>
    </row>
    <row r="48" customFormat="false" ht="18" hidden="false" customHeight="true" outlineLevel="0" collapsed="false">
      <c r="A48" s="157" t="s">
        <v>418</v>
      </c>
      <c r="B48" s="157"/>
      <c r="C48" s="157"/>
      <c r="D48" s="157"/>
      <c r="E48" s="157"/>
      <c r="F48" s="157"/>
      <c r="G48" s="157"/>
    </row>
    <row r="49" customFormat="false" ht="18" hidden="false" customHeight="true" outlineLevel="0" collapsed="false">
      <c r="A49" s="158" t="s">
        <v>419</v>
      </c>
      <c r="B49" s="158"/>
      <c r="C49" s="158"/>
      <c r="D49" s="158"/>
      <c r="E49" s="158"/>
      <c r="F49" s="158"/>
      <c r="G49" s="158"/>
    </row>
    <row r="50" customFormat="false" ht="18" hidden="false" customHeight="true" outlineLevel="0" collapsed="false">
      <c r="A50" s="157" t="s">
        <v>420</v>
      </c>
      <c r="B50" s="157"/>
      <c r="C50" s="157"/>
      <c r="D50" s="157"/>
      <c r="E50" s="157"/>
      <c r="F50" s="157"/>
      <c r="G50" s="157"/>
    </row>
    <row r="51" customFormat="false" ht="18" hidden="false" customHeight="true" outlineLevel="0" collapsed="false">
      <c r="A51" s="158" t="s">
        <v>421</v>
      </c>
      <c r="B51" s="158"/>
      <c r="C51" s="158"/>
      <c r="D51" s="158"/>
      <c r="E51" s="158"/>
      <c r="F51" s="158"/>
      <c r="G51" s="158"/>
    </row>
    <row r="52" customFormat="false" ht="18" hidden="false" customHeight="true" outlineLevel="0" collapsed="false">
      <c r="A52" s="157" t="s">
        <v>422</v>
      </c>
      <c r="B52" s="157"/>
      <c r="C52" s="157"/>
      <c r="D52" s="157"/>
      <c r="E52" s="157"/>
      <c r="F52" s="157"/>
      <c r="G52" s="157"/>
    </row>
  </sheetData>
  <mergeCells count="44">
    <mergeCell ref="A1:G1"/>
    <mergeCell ref="A3:G3"/>
    <mergeCell ref="A4:G4"/>
    <mergeCell ref="A5:G5"/>
    <mergeCell ref="A6:G6"/>
    <mergeCell ref="A7:G7"/>
    <mergeCell ref="A9:G9"/>
    <mergeCell ref="A10:G10"/>
    <mergeCell ref="A11:G11"/>
    <mergeCell ref="A12:G12"/>
    <mergeCell ref="A13:G13"/>
    <mergeCell ref="A15:G15"/>
    <mergeCell ref="A16:G16"/>
    <mergeCell ref="A17:G17"/>
    <mergeCell ref="A18:G18"/>
    <mergeCell ref="A19:G19"/>
    <mergeCell ref="A21:G21"/>
    <mergeCell ref="A22:G22"/>
    <mergeCell ref="A23:G23"/>
    <mergeCell ref="A24:G24"/>
    <mergeCell ref="A25:G25"/>
    <mergeCell ref="A26:G26"/>
    <mergeCell ref="A27:G27"/>
    <mergeCell ref="A28:G28"/>
    <mergeCell ref="A29:G29"/>
    <mergeCell ref="A30:G30"/>
    <mergeCell ref="A32:G32"/>
    <mergeCell ref="A33:G33"/>
    <mergeCell ref="A34:G34"/>
    <mergeCell ref="A35:G35"/>
    <mergeCell ref="A37:G37"/>
    <mergeCell ref="A38:G38"/>
    <mergeCell ref="A39:G39"/>
    <mergeCell ref="A41:G41"/>
    <mergeCell ref="A42:G42"/>
    <mergeCell ref="A43:G43"/>
    <mergeCell ref="A44:G44"/>
    <mergeCell ref="A46:G46"/>
    <mergeCell ref="A47:G47"/>
    <mergeCell ref="A48:G48"/>
    <mergeCell ref="A49:G49"/>
    <mergeCell ref="A50:G50"/>
    <mergeCell ref="A51:G51"/>
    <mergeCell ref="A52:G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2026-05-24T13:54:01Z</dcterms:created>
  <dc:creator>openpyxl</dc:creator>
  <dc:description/>
  <dc:language>en-US</dc:language>
  <cp:lastModifiedBy/>
  <dcterms:modified xsi:type="dcterms:W3CDTF">2026-05-24T14:18:20Z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